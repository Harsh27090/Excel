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0" documentId="8_{9CBA6948-8324-4744-92ED-92886B6749B4}" xr6:coauthVersionLast="45" xr6:coauthVersionMax="45" xr10:uidLastSave="{00000000-0000-0000-0000-000000000000}"/>
  <bookViews>
    <workbookView xWindow="-108" yWindow="-108" windowWidth="23256" windowHeight="13896" xr2:uid="{5E2B7B51-C35F-4661-B53F-5885861E7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C19" i="1"/>
  <c r="C18" i="1"/>
  <c r="C17" i="1"/>
  <c r="C16" i="1"/>
  <c r="C15" i="1"/>
  <c r="C14" i="1"/>
  <c r="B13" i="1"/>
  <c r="C13" i="1" s="1"/>
  <c r="B12" i="1"/>
  <c r="C12" i="1" s="1"/>
  <c r="B11" i="1"/>
  <c r="C11" i="1" s="1"/>
</calcChain>
</file>

<file path=xl/sharedStrings.xml><?xml version="1.0" encoding="utf-8"?>
<sst xmlns="http://schemas.openxmlformats.org/spreadsheetml/2006/main" count="40" uniqueCount="38">
  <si>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</si>
  <si>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</si>
  <si>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</si>
  <si>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</si>
  <si>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</si>
  <si>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</si>
  <si>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</si>
  <si>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</si>
  <si>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</si>
  <si>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John Doe</t>
  </si>
  <si>
    <t>john@example.com</t>
  </si>
  <si>
    <t>Sales</t>
  </si>
  <si>
    <t>jane smith</t>
  </si>
  <si>
    <t>jane@example.com</t>
  </si>
  <si>
    <t>Marketing</t>
  </si>
  <si>
    <t>ALICE JOHNSON</t>
  </si>
  <si>
    <t>alice@example.com</t>
  </si>
  <si>
    <t>BOB Brown</t>
  </si>
  <si>
    <t>BOB@example.com</t>
  </si>
  <si>
    <t>HR</t>
  </si>
  <si>
    <t>Eva White</t>
  </si>
  <si>
    <t>eva@example.com</t>
  </si>
  <si>
    <t>Today</t>
  </si>
  <si>
    <t>Yesterday</t>
  </si>
  <si>
    <t>Tomorrow</t>
  </si>
  <si>
    <t xml:space="preserve">Hour </t>
  </si>
  <si>
    <t>Minute</t>
  </si>
  <si>
    <t>Second</t>
  </si>
  <si>
    <t>Year</t>
  </si>
  <si>
    <t>Month</t>
  </si>
  <si>
    <t>Day</t>
  </si>
  <si>
    <t>DATEDIFF</t>
  </si>
  <si>
    <t>NetWorkingDays</t>
  </si>
  <si>
    <t>Workdays</t>
  </si>
  <si>
    <t>it shows, when the given no. of working days where completed</t>
  </si>
  <si>
    <t>difference between given dates</t>
  </si>
  <si>
    <t>workinig days between given dates</t>
  </si>
  <si>
    <t>Project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</si>
</sst>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Gantt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Project 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Sheet1!$H$2:$H$6</c:f>
              <c:numCache>
                <c:formatCode>m/d/yyyy</c:formatCode>
                <c:ptCount val="5"/>
                <c:pt idx="0">
                  <c:v>45444</c:v>
                </c:pt>
                <c:pt idx="1">
                  <c:v>45444</c:v>
                </c:pt>
                <c:pt idx="2">
                  <c:v>45444</c:v>
                </c:pt>
                <c:pt idx="3">
                  <c:v>45444</c:v>
                </c:pt>
                <c:pt idx="4">
                  <c:v>45444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7-4FEA-96DD-B758054005BD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Project 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7-4FEA-96DD-B758054005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6767616"/>
        <c:axId val="796769912"/>
      </c:barChart>
      <c:catAx>
        <c:axId val="796767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69912"/>
        <c:crosses val="autoZero"/>
        <c:auto val="1"/>
        <c:lblAlgn val="ctr"/>
        <c:lblOffset val="100"/>
        <c:noMultiLvlLbl val="0"/>
      </c:catAx>
      <c:valAx>
        <c:axId val="79676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6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205564</xdr:colOff>
      <xdr:row>22</xdr:row>
      <xdr:rowOff>12814</xdr:rowOff>
    </xdr:from>
    <xdr:to>
      <xdr:col>9</xdr:col>
      <xdr:colOff>545375</xdr:colOff>
      <xdr:row>36</xdr:row>
      <xdr:rowOff>154483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8A9B5-C79B-4F65-89E3-3693F7DE1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120A-FD87-4326-A66C-9803768FFD1D}">
  <dimension ref="A1:J19"/>
  <sheetViews>
    <sheetView tabSelected="1" zoomScale="81" workbookViewId="0">
      <selection activeCell="M19" sqref="M19"/>
    </sheetView>
  </sheetViews>
  <sheetFormatPr defaultRowHeight="14.4" x14ac:dyDescent="0.3"/>
  <cols>
    <col min="1" max="1" width="14.88671875" bestFit="1" customWidth="1"/>
    <col min="2" max="3" width="10.33203125" bestFit="1" customWidth="1"/>
    <col min="4" max="4" width="18.109375" bestFit="1" customWidth="1"/>
    <col min="5" max="7" width="9" bestFit="1" customWidth="1"/>
    <col min="8" max="9" width="18.218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37</v>
      </c>
    </row>
    <row r="2" spans="1:10" x14ac:dyDescent="0.3">
      <c r="A2" t="s">
        <v>9</v>
      </c>
      <c r="B2" t="s">
        <v>10</v>
      </c>
      <c r="C2" t="s">
        <v>11</v>
      </c>
      <c r="D2" s="2">
        <v>44691</v>
      </c>
      <c r="E2">
        <v>5</v>
      </c>
      <c r="F2">
        <v>50000</v>
      </c>
      <c r="G2">
        <v>0.1</v>
      </c>
      <c r="H2" s="3">
        <v>45444</v>
      </c>
      <c r="I2" s="3">
        <v>45458</v>
      </c>
      <c r="J2">
        <f>DATEDIF(H2,I2,"d")</f>
        <v>14</v>
      </c>
    </row>
    <row r="3" spans="1:10" x14ac:dyDescent="0.3">
      <c r="A3" t="s">
        <v>12</v>
      </c>
      <c r="B3" t="s">
        <v>13</v>
      </c>
      <c r="C3" t="s">
        <v>14</v>
      </c>
      <c r="D3" s="2">
        <v>44941</v>
      </c>
      <c r="E3">
        <v>12</v>
      </c>
      <c r="F3">
        <v>60000</v>
      </c>
      <c r="G3">
        <v>0.15</v>
      </c>
      <c r="H3" s="3">
        <v>45444</v>
      </c>
      <c r="I3" s="3">
        <v>45461</v>
      </c>
      <c r="J3">
        <f t="shared" ref="J3:J6" si="0">DATEDIF(H3,I3,"d")</f>
        <v>17</v>
      </c>
    </row>
    <row r="4" spans="1:10" x14ac:dyDescent="0.3">
      <c r="A4" t="s">
        <v>15</v>
      </c>
      <c r="B4" t="s">
        <v>16</v>
      </c>
      <c r="C4" t="s">
        <v>11</v>
      </c>
      <c r="D4" s="2">
        <v>44378</v>
      </c>
      <c r="E4">
        <v>0</v>
      </c>
      <c r="F4">
        <v>55000</v>
      </c>
      <c r="G4">
        <v>0.1</v>
      </c>
      <c r="H4" s="3">
        <v>45444</v>
      </c>
      <c r="I4" s="3">
        <v>45463</v>
      </c>
      <c r="J4">
        <f t="shared" si="0"/>
        <v>19</v>
      </c>
    </row>
    <row r="5" spans="1:10" x14ac:dyDescent="0.3">
      <c r="A5" t="s">
        <v>17</v>
      </c>
      <c r="B5" t="s">
        <v>18</v>
      </c>
      <c r="C5" t="s">
        <v>19</v>
      </c>
      <c r="D5" s="2">
        <v>45219</v>
      </c>
      <c r="E5">
        <v>8</v>
      </c>
      <c r="F5">
        <v>45000</v>
      </c>
      <c r="G5">
        <v>0.05</v>
      </c>
      <c r="H5" s="3">
        <v>45444</v>
      </c>
      <c r="I5" s="3">
        <v>45468</v>
      </c>
      <c r="J5">
        <f t="shared" si="0"/>
        <v>24</v>
      </c>
    </row>
    <row r="6" spans="1:10" x14ac:dyDescent="0.3">
      <c r="A6" t="s">
        <v>20</v>
      </c>
      <c r="B6" t="s">
        <v>21</v>
      </c>
      <c r="C6" t="s">
        <v>14</v>
      </c>
      <c r="D6" s="2">
        <v>43895</v>
      </c>
      <c r="E6">
        <v>2</v>
      </c>
      <c r="F6">
        <v>70000</v>
      </c>
      <c r="G6">
        <v>0.2</v>
      </c>
      <c r="H6" s="3">
        <v>45444</v>
      </c>
      <c r="I6" s="3">
        <v>45473</v>
      </c>
      <c r="J6">
        <f t="shared" si="0"/>
        <v>29</v>
      </c>
    </row>
    <row r="11" spans="1:10" x14ac:dyDescent="0.3">
      <c r="A11" t="s">
        <v>22</v>
      </c>
      <c r="B11" s="3">
        <f ca="1">TODAY()</f>
        <v>46077</v>
      </c>
      <c r="C11">
        <f ca="1">YEAR(B11)</f>
        <v>2026</v>
      </c>
      <c r="D11" t="s">
        <v>28</v>
      </c>
    </row>
    <row r="12" spans="1:10" x14ac:dyDescent="0.3">
      <c r="A12" t="s">
        <v>23</v>
      </c>
      <c r="B12" s="3">
        <f ca="1">TODAY()-1</f>
        <v>46076</v>
      </c>
      <c r="C12">
        <f ca="1">MONTH(B12)</f>
        <v>2</v>
      </c>
      <c r="D12" t="s">
        <v>29</v>
      </c>
    </row>
    <row r="13" spans="1:10" x14ac:dyDescent="0.3">
      <c r="A13" t="s">
        <v>24</v>
      </c>
      <c r="B13" s="3">
        <f ca="1">TODAY()+1</f>
        <v>46078</v>
      </c>
      <c r="C13">
        <f ca="1">DAY(B13)</f>
        <v>25</v>
      </c>
      <c r="D13" t="s">
        <v>30</v>
      </c>
    </row>
    <row r="14" spans="1:10" x14ac:dyDescent="0.3">
      <c r="A14" t="s">
        <v>25</v>
      </c>
      <c r="B14" s="4">
        <v>0.9824652777777777</v>
      </c>
      <c r="C14">
        <f>HOUR(B14)</f>
        <v>23</v>
      </c>
    </row>
    <row r="15" spans="1:10" x14ac:dyDescent="0.3">
      <c r="A15" t="s">
        <v>26</v>
      </c>
      <c r="B15" s="4">
        <v>0.9824652777777777</v>
      </c>
      <c r="C15">
        <f>MINUTE(B15)</f>
        <v>34</v>
      </c>
    </row>
    <row r="16" spans="1:10" x14ac:dyDescent="0.3">
      <c r="A16" t="s">
        <v>27</v>
      </c>
      <c r="B16" s="4">
        <v>0.9824652777777777</v>
      </c>
      <c r="C16">
        <f>SECOND(B16)</f>
        <v>45</v>
      </c>
    </row>
    <row r="17" spans="1:4" x14ac:dyDescent="0.3">
      <c r="A17" t="s">
        <v>31</v>
      </c>
      <c r="B17" s="3">
        <v>45444</v>
      </c>
      <c r="C17">
        <f ca="1">DATEDIF(B17,TODAY(),"d")</f>
        <v>633</v>
      </c>
      <c r="D17" t="s">
        <v>35</v>
      </c>
    </row>
    <row r="18" spans="1:4" x14ac:dyDescent="0.3">
      <c r="A18" t="s">
        <v>32</v>
      </c>
      <c r="B18" s="3">
        <v>44378</v>
      </c>
      <c r="C18">
        <f ca="1">NETWORKDAYS(B18,TODAY())</f>
        <v>1214</v>
      </c>
      <c r="D18" t="s">
        <v>36</v>
      </c>
    </row>
    <row r="19" spans="1:4" x14ac:dyDescent="0.3">
      <c r="A19" t="s">
        <v>33</v>
      </c>
      <c r="B19" s="3">
        <v>44378</v>
      </c>
      <c r="C19" s="3">
        <f>WORKDAY(B19,365)</f>
        <v>44889</v>
      </c>
      <c r="D19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Harsh Chauhan</cp:lastModifiedBy>
  <dcterms:created xsi:type="dcterms:W3CDTF">2026-02-24T16:54:59Z</dcterms:created>
  <dcterms:modified xsi:type="dcterms:W3CDTF">2026-02-24T17:39:23Z</dcterms:modified>
</cp:coreProperties>
</file>