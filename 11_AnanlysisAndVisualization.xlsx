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1" documentId="8_{10F797DF-F61E-44B4-9326-E355573BB10B}" xr6:coauthVersionLast="47" xr6:coauthVersionMax="47" xr10:uidLastSave="{2C4C3375-A051-4BD0-8A91-2B2280D135BA}"/>
  <bookViews>
    <workbookView xWindow="-108" yWindow="-108" windowWidth="23256" windowHeight="13896" activeTab="5" xr2:uid="{F451198E-D922-42F4-B57C-57B213AD3ED5}"/>
  </bookViews>
  <sheets>
    <sheet name="Column Chart" sheetId="1" r:id="rId1"/>
    <sheet name="Bar Chart" sheetId="2" r:id="rId2"/>
    <sheet name="Line Chart" sheetId="3" r:id="rId3"/>
    <sheet name="Pie Chart" sheetId="4" r:id="rId4"/>
    <sheet name="Area Chart" sheetId="5" r:id="rId5"/>
    <sheet name="Combo" sheetId="6" r:id="rId6"/>
  </sheets>
  <calcPr calcId="191029"/>
  <pivotCaches>
    <pivotCache cacheId="65" r:id="rId7"/>
    <pivotCache cacheId="68" r:id="rId8"/>
    <pivotCache cacheId="71" r:id="rId9"/>
    <pivotCache cacheId="109" r:id="rId10"/>
    <pivotCache cacheId="146" r:id="rId11"/>
    <pivotCache cacheId="19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PI_Data_143280e0-a8be-4ebe-a5c7-003cd32fe117" name="KPI_Data" connection="Excel Section_5_PivotTable_Visual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47316-2347-4F11-8338-919DABCF641A}" name="Excel Section_5_PivotTable_Visual" type="100" refreshedVersion="0">
    <extLst>
      <ext xmlns:x15="http://schemas.microsoft.com/office/spreadsheetml/2010/11/main" uri="{DE250136-89BD-433C-8126-D09CA5730AF9}">
        <x15:connection id="abdde060-8345-47fa-8319-04765a2b7268"/>
      </ext>
    </extLst>
  </connection>
  <connection id="2" xr16:uid="{74FD1378-560A-45C0-968E-ED1C2CC35D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<sst xmlns="http://schemas.openxmlformats.org/spreadsheetml/2006/main" count="75" uniqueCount="49">
  <si>
    <t>Row Labels</t>
  </si>
  <si>
    <t>East</t>
  </si>
  <si>
    <t>North</t>
  </si>
  <si>
    <t>South</t>
  </si>
  <si>
    <t>West</t>
  </si>
  <si>
    <t>Grand Total</t>
  </si>
  <si>
    <t>Total Revenue</t>
  </si>
  <si>
    <t>Books</t>
  </si>
  <si>
    <t>Clothing</t>
  </si>
  <si>
    <t>Electronics</t>
  </si>
  <si>
    <t>Food</t>
  </si>
  <si>
    <t>Furniture</t>
  </si>
  <si>
    <t>Category</t>
  </si>
  <si>
    <t>Region</t>
  </si>
  <si>
    <t>Bread</t>
  </si>
  <si>
    <t>Chair</t>
  </si>
  <si>
    <t>Fiction</t>
  </si>
  <si>
    <t>Fruits</t>
  </si>
  <si>
    <t>Headphones</t>
  </si>
  <si>
    <t>History</t>
  </si>
  <si>
    <t>Jacket</t>
  </si>
  <si>
    <t>Laptop</t>
  </si>
  <si>
    <t>Milk</t>
  </si>
  <si>
    <t>Pants</t>
  </si>
  <si>
    <t>Science</t>
  </si>
  <si>
    <t>Shirt</t>
  </si>
  <si>
    <t>Smartphone</t>
  </si>
  <si>
    <t>Sofa</t>
  </si>
  <si>
    <t>Table</t>
  </si>
  <si>
    <t>Total Tax</t>
  </si>
  <si>
    <t>Total Profit</t>
  </si>
  <si>
    <t>2023Q1</t>
  </si>
  <si>
    <t>2023Q2</t>
  </si>
  <si>
    <t>2023Q3</t>
  </si>
  <si>
    <t>2023Q4</t>
  </si>
  <si>
    <t>2024Q1</t>
  </si>
  <si>
    <t>January</t>
  </si>
  <si>
    <t>December</t>
  </si>
  <si>
    <t>November</t>
  </si>
  <si>
    <t>October</t>
  </si>
  <si>
    <t>August</t>
  </si>
  <si>
    <t>July</t>
  </si>
  <si>
    <t>September</t>
  </si>
  <si>
    <t>April</t>
  </si>
  <si>
    <t>June</t>
  </si>
  <si>
    <t>May</t>
  </si>
  <si>
    <t>February</t>
  </si>
  <si>
    <t>March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</si>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</sst>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[11_AnanlysisAndVisualization.xlsx]Column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Chart'!$C$8:$C$12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'Column Chart'!$D$8:$D$12</c:f>
              <c:numCache>
                <c:formatCode>General</c:formatCode>
                <c:ptCount val="4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D-4CA7-8275-5E924EB4D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593656"/>
        <c:axId val="1172597256"/>
      </c:barChart>
      <c:catAx>
        <c:axId val="117259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97256"/>
        <c:crosses val="autoZero"/>
        <c:auto val="1"/>
        <c:lblAlgn val="ctr"/>
        <c:lblOffset val="100"/>
        <c:noMultiLvlLbl val="0"/>
      </c:catAx>
      <c:valAx>
        <c:axId val="117259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9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[11_AnanlysisAndVisualization.xlsx]Bar 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Chart'!$C$8:$C$13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'Bar Chart'!$D$8:$D$13</c:f>
              <c:numCache>
                <c:formatCode>General</c:formatCode>
                <c:ptCount val="5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B-40EC-8D88-ECEBF4EDA3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69167200"/>
        <c:axId val="1169168280"/>
        <c:axId val="0"/>
      </c:bar3DChart>
      <c:catAx>
        <c:axId val="116916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68280"/>
        <c:crosses val="autoZero"/>
        <c:auto val="1"/>
        <c:lblAlgn val="ctr"/>
        <c:lblOffset val="100"/>
        <c:noMultiLvlLbl val="0"/>
      </c:catAx>
      <c:valAx>
        <c:axId val="116916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6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[11_AnanlysisAndVisualization.xlsx]Line Chart!PivotTable6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Chart'!$D$8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Chart'!$C$9:$C$24</c:f>
              <c:strCache>
                <c:ptCount val="15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</c:strCache>
            </c:strRef>
          </c:cat>
          <c:val>
            <c:numRef>
              <c:f>'Line Chart'!$D$9:$D$24</c:f>
              <c:numCache>
                <c:formatCode>General</c:formatCode>
                <c:ptCount val="15"/>
                <c:pt idx="0">
                  <c:v>65625</c:v>
                </c:pt>
                <c:pt idx="1">
                  <c:v>26497</c:v>
                </c:pt>
                <c:pt idx="2">
                  <c:v>48978</c:v>
                </c:pt>
                <c:pt idx="3">
                  <c:v>51776</c:v>
                </c:pt>
                <c:pt idx="4">
                  <c:v>45484</c:v>
                </c:pt>
                <c:pt idx="5">
                  <c:v>48227</c:v>
                </c:pt>
                <c:pt idx="6">
                  <c:v>37445</c:v>
                </c:pt>
                <c:pt idx="7">
                  <c:v>46236</c:v>
                </c:pt>
                <c:pt idx="8">
                  <c:v>37745</c:v>
                </c:pt>
                <c:pt idx="9">
                  <c:v>34282</c:v>
                </c:pt>
                <c:pt idx="10">
                  <c:v>31174</c:v>
                </c:pt>
                <c:pt idx="11">
                  <c:v>32798</c:v>
                </c:pt>
                <c:pt idx="12">
                  <c:v>32522</c:v>
                </c:pt>
                <c:pt idx="13">
                  <c:v>30232</c:v>
                </c:pt>
                <c:pt idx="14">
                  <c:v>36518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4-44D4-A924-B993122BD81A}"/>
            </c:ext>
          </c:extLst>
        </c:ser>
        <c:ser>
          <c:idx val="1"/>
          <c:order val="1"/>
          <c:tx>
            <c:strRef>
              <c:f>'Line Chart'!$E$8</c:f>
              <c:strCache>
                <c:ptCount val="1"/>
                <c:pt idx="0">
                  <c:v>Total Tax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Chart'!$C$9:$C$24</c:f>
              <c:strCache>
                <c:ptCount val="15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</c:strCache>
            </c:strRef>
          </c:cat>
          <c:val>
            <c:numRef>
              <c:f>'Line Chart'!$E$9:$E$24</c:f>
              <c:numCache>
                <c:formatCode>General</c:formatCode>
                <c:ptCount val="15"/>
                <c:pt idx="0">
                  <c:v>11812.5</c:v>
                </c:pt>
                <c:pt idx="1">
                  <c:v>4769.46</c:v>
                </c:pt>
                <c:pt idx="2">
                  <c:v>8816.0399999999991</c:v>
                </c:pt>
                <c:pt idx="3">
                  <c:v>9319.68</c:v>
                </c:pt>
                <c:pt idx="4">
                  <c:v>8187.12</c:v>
                </c:pt>
                <c:pt idx="5">
                  <c:v>8680.86</c:v>
                </c:pt>
                <c:pt idx="6">
                  <c:v>6740.0999999999995</c:v>
                </c:pt>
                <c:pt idx="7">
                  <c:v>8322.48</c:v>
                </c:pt>
                <c:pt idx="8">
                  <c:v>6794.0999999999995</c:v>
                </c:pt>
                <c:pt idx="9">
                  <c:v>6170.76</c:v>
                </c:pt>
                <c:pt idx="10">
                  <c:v>5611.32</c:v>
                </c:pt>
                <c:pt idx="11">
                  <c:v>5903.6399999999994</c:v>
                </c:pt>
                <c:pt idx="12">
                  <c:v>5853.96</c:v>
                </c:pt>
                <c:pt idx="13">
                  <c:v>5441.76</c:v>
                </c:pt>
                <c:pt idx="14">
                  <c:v>6573.24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4-44D4-A924-B993122BD81A}"/>
            </c:ext>
          </c:extLst>
        </c:ser>
        <c:ser>
          <c:idx val="2"/>
          <c:order val="2"/>
          <c:tx>
            <c:strRef>
              <c:f>'Line Chart'!$F$8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Chart'!$C$9:$C$24</c:f>
              <c:strCache>
                <c:ptCount val="15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</c:strCache>
            </c:strRef>
          </c:cat>
          <c:val>
            <c:numRef>
              <c:f>'Line Chart'!$F$9:$F$24</c:f>
              <c:numCache>
                <c:formatCode>General</c:formatCode>
                <c:ptCount val="15"/>
                <c:pt idx="0">
                  <c:v>53812.5</c:v>
                </c:pt>
                <c:pt idx="1">
                  <c:v>21727.54</c:v>
                </c:pt>
                <c:pt idx="2">
                  <c:v>40161.96</c:v>
                </c:pt>
                <c:pt idx="3">
                  <c:v>42456.32</c:v>
                </c:pt>
                <c:pt idx="4">
                  <c:v>37296.879999999997</c:v>
                </c:pt>
                <c:pt idx="5">
                  <c:v>39546.14</c:v>
                </c:pt>
                <c:pt idx="6">
                  <c:v>30704.9</c:v>
                </c:pt>
                <c:pt idx="7">
                  <c:v>37913.520000000004</c:v>
                </c:pt>
                <c:pt idx="8">
                  <c:v>30950.9</c:v>
                </c:pt>
                <c:pt idx="9">
                  <c:v>28111.239999999998</c:v>
                </c:pt>
                <c:pt idx="10">
                  <c:v>25562.68</c:v>
                </c:pt>
                <c:pt idx="11">
                  <c:v>26894.36</c:v>
                </c:pt>
                <c:pt idx="12">
                  <c:v>26668.04</c:v>
                </c:pt>
                <c:pt idx="13">
                  <c:v>24790.239999999998</c:v>
                </c:pt>
                <c:pt idx="14">
                  <c:v>29944.760000000002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C4-44D4-A924-B993122BD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195016"/>
        <c:axId val="425196456"/>
      </c:lineChart>
      <c:catAx>
        <c:axId val="42519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96456"/>
        <c:crosses val="autoZero"/>
        <c:auto val="1"/>
        <c:lblAlgn val="ctr"/>
        <c:lblOffset val="100"/>
        <c:noMultiLvlLbl val="0"/>
      </c:catAx>
      <c:valAx>
        <c:axId val="42519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9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[11_AnanlysisAndVisualization.xlsx]Pie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Chart'!$C$7:$C$12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'Pie Chart'!$D$7:$D$12</c:f>
              <c:numCache>
                <c:formatCode>General</c:formatCode>
                <c:ptCount val="5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7-4EBB-A58B-D03A9220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[11_AnanlysisAndVisualization.xlsx]Area Chart!PivotTable10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'Area Chart'!$D$8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'Area Chart'!$C$9:$C$29</c:f>
              <c:multiLvlStrCache>
                <c:ptCount val="13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January</c:v>
                  </c:pt>
                </c:lvl>
                <c:lvl>
                  <c:pt idx="0">
                    <c:v>2023Q1</c:v>
                  </c:pt>
                  <c:pt idx="3">
                    <c:v>2023Q2</c:v>
                  </c:pt>
                  <c:pt idx="6">
                    <c:v>2023Q3</c:v>
                  </c:pt>
                  <c:pt idx="9">
                    <c:v>2023Q4</c:v>
                  </c:pt>
                  <c:pt idx="12">
                    <c:v>2024Q1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'Area Chart'!$D$9:$D$29</c:f>
              <c:numCache>
                <c:formatCode>General</c:formatCode>
                <c:ptCount val="13"/>
                <c:pt idx="0">
                  <c:v>44262</c:v>
                </c:pt>
                <c:pt idx="1">
                  <c:v>21018</c:v>
                </c:pt>
                <c:pt idx="2">
                  <c:v>17758</c:v>
                </c:pt>
                <c:pt idx="3">
                  <c:v>46742</c:v>
                </c:pt>
                <c:pt idx="4">
                  <c:v>75772</c:v>
                </c:pt>
                <c:pt idx="5">
                  <c:v>53300</c:v>
                </c:pt>
                <c:pt idx="6">
                  <c:v>68355</c:v>
                </c:pt>
                <c:pt idx="7">
                  <c:v>47314</c:v>
                </c:pt>
                <c:pt idx="8">
                  <c:v>30513</c:v>
                </c:pt>
                <c:pt idx="9">
                  <c:v>78071</c:v>
                </c:pt>
                <c:pt idx="10">
                  <c:v>71280</c:v>
                </c:pt>
                <c:pt idx="11">
                  <c:v>48614</c:v>
                </c:pt>
                <c:pt idx="1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5-4E80-A28B-2066362FA435}"/>
            </c:ext>
          </c:extLst>
        </c:ser>
        <c:ser>
          <c:idx val="1"/>
          <c:order val="1"/>
          <c:tx>
            <c:strRef>
              <c:f>'Area Chart'!$E$8</c:f>
              <c:strCache>
                <c:ptCount val="1"/>
                <c:pt idx="0">
                  <c:v>Total 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'Area Chart'!$C$9:$C$29</c:f>
              <c:multiLvlStrCache>
                <c:ptCount val="13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January</c:v>
                  </c:pt>
                </c:lvl>
                <c:lvl>
                  <c:pt idx="0">
                    <c:v>2023Q1</c:v>
                  </c:pt>
                  <c:pt idx="3">
                    <c:v>2023Q2</c:v>
                  </c:pt>
                  <c:pt idx="6">
                    <c:v>2023Q3</c:v>
                  </c:pt>
                  <c:pt idx="9">
                    <c:v>2023Q4</c:v>
                  </c:pt>
                  <c:pt idx="12">
                    <c:v>2024Q1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'Area Chart'!$E$9:$E$29</c:f>
              <c:numCache>
                <c:formatCode>General</c:formatCode>
                <c:ptCount val="13"/>
                <c:pt idx="0">
                  <c:v>7967.16</c:v>
                </c:pt>
                <c:pt idx="1">
                  <c:v>3783.24</c:v>
                </c:pt>
                <c:pt idx="2">
                  <c:v>3196.44</c:v>
                </c:pt>
                <c:pt idx="3">
                  <c:v>8413.56</c:v>
                </c:pt>
                <c:pt idx="4">
                  <c:v>13638.96</c:v>
                </c:pt>
                <c:pt idx="5">
                  <c:v>9594</c:v>
                </c:pt>
                <c:pt idx="6">
                  <c:v>12303.9</c:v>
                </c:pt>
                <c:pt idx="7">
                  <c:v>8516.52</c:v>
                </c:pt>
                <c:pt idx="8">
                  <c:v>5492.34</c:v>
                </c:pt>
                <c:pt idx="9">
                  <c:v>14052.779999999999</c:v>
                </c:pt>
                <c:pt idx="10">
                  <c:v>12830.4</c:v>
                </c:pt>
                <c:pt idx="11">
                  <c:v>8750.52</c:v>
                </c:pt>
                <c:pt idx="12">
                  <c:v>457.2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5-4E80-A28B-2066362FA435}"/>
            </c:ext>
          </c:extLst>
        </c:ser>
        <c:ser>
          <c:idx val="2"/>
          <c:order val="2"/>
          <c:tx>
            <c:strRef>
              <c:f>'Area Chart'!$F$8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'Area Chart'!$C$9:$C$29</c:f>
              <c:multiLvlStrCache>
                <c:ptCount val="13"/>
                <c:lvl>
                  <c:pt idx="0">
                    <c:v>February</c:v>
                  </c:pt>
                  <c:pt idx="1">
                    <c:v>January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June</c:v>
                  </c:pt>
                  <c:pt idx="5">
                    <c:v>May</c:v>
                  </c:pt>
                  <c:pt idx="6">
                    <c:v>August</c:v>
                  </c:pt>
                  <c:pt idx="7">
                    <c:v>July</c:v>
                  </c:pt>
                  <c:pt idx="8">
                    <c:v>September</c:v>
                  </c:pt>
                  <c:pt idx="9">
                    <c:v>December</c:v>
                  </c:pt>
                  <c:pt idx="10">
                    <c:v>November</c:v>
                  </c:pt>
                  <c:pt idx="11">
                    <c:v>October</c:v>
                  </c:pt>
                  <c:pt idx="12">
                    <c:v>January</c:v>
                  </c:pt>
                </c:lvl>
                <c:lvl>
                  <c:pt idx="0">
                    <c:v>2023Q1</c:v>
                  </c:pt>
                  <c:pt idx="3">
                    <c:v>2023Q2</c:v>
                  </c:pt>
                  <c:pt idx="6">
                    <c:v>2023Q3</c:v>
                  </c:pt>
                  <c:pt idx="9">
                    <c:v>2023Q4</c:v>
                  </c:pt>
                  <c:pt idx="12">
                    <c:v>2024Q1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'Area Chart'!$F$9:$F$29</c:f>
              <c:numCache>
                <c:formatCode>General</c:formatCode>
                <c:ptCount val="13"/>
                <c:pt idx="0">
                  <c:v>36294.839999999997</c:v>
                </c:pt>
                <c:pt idx="1">
                  <c:v>17234.760000000002</c:v>
                </c:pt>
                <c:pt idx="2">
                  <c:v>14561.56</c:v>
                </c:pt>
                <c:pt idx="3">
                  <c:v>38328.44</c:v>
                </c:pt>
                <c:pt idx="4">
                  <c:v>62133.04</c:v>
                </c:pt>
                <c:pt idx="5">
                  <c:v>43706</c:v>
                </c:pt>
                <c:pt idx="6">
                  <c:v>56051.1</c:v>
                </c:pt>
                <c:pt idx="7">
                  <c:v>38797.479999999996</c:v>
                </c:pt>
                <c:pt idx="8">
                  <c:v>25020.66</c:v>
                </c:pt>
                <c:pt idx="9">
                  <c:v>64018.22</c:v>
                </c:pt>
                <c:pt idx="10">
                  <c:v>58449.599999999999</c:v>
                </c:pt>
                <c:pt idx="11">
                  <c:v>39863.479999999996</c:v>
                </c:pt>
                <c:pt idx="12">
                  <c:v>2082.8000000000002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5-4E80-A28B-2066362F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467952"/>
        <c:axId val="1013463632"/>
      </c:areaChart>
      <c:catAx>
        <c:axId val="10134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63632"/>
        <c:crosses val="autoZero"/>
        <c:auto val="1"/>
        <c:lblAlgn val="ctr"/>
        <c:lblOffset val="100"/>
        <c:noMultiLvlLbl val="0"/>
      </c:catAx>
      <c:valAx>
        <c:axId val="10134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6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[11_AnanlysisAndVisualization.xlsx]Combo!PivotTable11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Combo!$D$8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Combo!$C$9:$C$14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Combo!$D$9:$D$14</c:f>
              <c:numCache>
                <c:formatCode>General</c:formatCode>
                <c:ptCount val="5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D-4319-B05F-E1E7D4E4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570640"/>
        <c:axId val="2067563080"/>
      </c:barChart>
      <c:lineChart>
        <c:grouping val="standard"/>
        <c:varyColors val="0"/>
        <c:ser>
          <c:idx val="1"/>
          <c:order val="1"/>
          <c:tx>
            <c:strRef>
              <c:f>Combo!$E$8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Combo!$C$9:$C$14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Combo!$E$9:$E$14</c:f>
              <c:numCache>
                <c:formatCode>General</c:formatCode>
                <c:ptCount val="5"/>
                <c:pt idx="0">
                  <c:v>105270.78</c:v>
                </c:pt>
                <c:pt idx="1">
                  <c:v>85710.5</c:v>
                </c:pt>
                <c:pt idx="2">
                  <c:v>101878.44</c:v>
                </c:pt>
                <c:pt idx="3">
                  <c:v>127219.72</c:v>
                </c:pt>
                <c:pt idx="4">
                  <c:v>76462.540000000008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D-4319-B05F-E1E7D4E4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570640"/>
        <c:axId val="2067563080"/>
      </c:lineChart>
      <c:catAx>
        <c:axId val="20675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63080"/>
        <c:crosses val="autoZero"/>
        <c:auto val="1"/>
        <c:lblAlgn val="ctr"/>
        <c:lblOffset val="100"/>
        <c:noMultiLvlLbl val="0"/>
      </c:catAx>
      <c:valAx>
        <c:axId val="20675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300463</xdr:colOff>
      <xdr:row>5</xdr:row>
      <xdr:rowOff>161694</xdr:rowOff>
    </xdr:from>
    <xdr:to>
      <xdr:col>10</xdr:col>
      <xdr:colOff>328342</xdr:colOff>
      <xdr:row>18</xdr:row>
      <xdr:rowOff>92927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B11ED-DDFC-04BA-18C4-B29FF98D3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5</xdr:row>
      <xdr:rowOff>64770</xdr:rowOff>
    </xdr:from>
    <xdr:to>
      <xdr:col>11</xdr:col>
      <xdr:colOff>281940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9AB91-A470-EBAA-00A0-7B3B86ED9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7</xdr:row>
      <xdr:rowOff>125730</xdr:rowOff>
    </xdr:from>
    <xdr:to>
      <xdr:col>14</xdr:col>
      <xdr:colOff>205740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27B9D-86E6-C829-C35D-A4F613796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110490</xdr:rowOff>
    </xdr:from>
    <xdr:to>
      <xdr:col>12</xdr:col>
      <xdr:colOff>76200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399B7-C8E3-7710-C262-F20F4B6B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5</xdr:row>
      <xdr:rowOff>171450</xdr:rowOff>
    </xdr:from>
    <xdr:to>
      <xdr:col>14</xdr:col>
      <xdr:colOff>182880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EA59F-0124-73F7-5858-0EAEFBC6C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5</xdr:row>
      <xdr:rowOff>11430</xdr:rowOff>
    </xdr:from>
    <xdr:to>
      <xdr:col>13</xdr:col>
      <xdr:colOff>22860</xdr:colOff>
      <xdr:row>20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1DE766-B860-32CD-E388-9052DA5B6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57042708331" backgroundQuery="1" createdVersion="8" refreshedVersion="8" minRefreshableVersion="3" recordCount="0" supportSubquery="1" supportAdvancedDrill="1" xr:uid="{963C6D5A-29B0-4BA7-AD8C-9F85B833C600}">
  <cacheSource type="external" connectionId="2"/>
  <cacheFields count="4">
    <cacheField name="[KPI_Data].[Product].[Product]" caption="Product" numFmtId="0" hierarchy="3" level="1">
      <sharedItems count="15">
        <s v="Bread"/>
        <s v="Chair"/>
        <s v="Fiction"/>
        <s v="Fruits"/>
        <s v="Headphones"/>
        <s v="History"/>
        <s v="Jacket"/>
        <s v="Laptop"/>
        <s v="Milk"/>
        <s v="Pants"/>
        <s v="Science"/>
        <s v="Shirt"/>
        <s v="Smartphone"/>
        <s v="Sofa"/>
        <s v="Table"/>
      </sharedItems>
    </cacheField>
    <cacheField name="[Measures].[Total Revenue]" caption="Total Revenue" numFmtId="0" hierarchy="19" level="32767"/>
    <cacheField name="[Measures].[Total Tax]" caption="Total Tax" numFmtId="0" hierarchy="20" level="32767"/>
    <cacheField name="[Measures].[Total Profit]" caption="Total Profit" numFmtId="0" hierarchy="21" level="32767"/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0" memberValueDatatype="130" unbalanced="0"/>
    <cacheHierarchy uniqueName="[KPI_Data].[Category]" caption="Category" attribute="1" defaultMemberUniqueName="[KPI_Data].[Category].[All]" allUniqueName="[KPI_Data].[Category].[All]" dimensionUniqueName="[KPI_Data]" displayFolder="" count="0" memberValueDatatype="130" unbalanced="0"/>
    <cacheHierarchy uniqueName="[KPI_Data].[Product]" caption="Product" attribute="1" defaultMemberUniqueName="[KPI_Data].[Product].[All]" allUniqueName="[KPI_Data].[Product].[All]" dimensionUniqueName="[KPI_Data]" displayFolder="" count="2" memberValueDatatype="130" unbalanced="0">
      <fieldsUsage count="2">
        <fieldUsage x="-1"/>
        <fieldUsage x="0"/>
      </fieldsUsage>
    </cacheHierarchy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0" unbalanced="0"/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1"/>
      </fieldsUsage>
    </cacheHierarchy>
    <cacheHierarchy uniqueName="[Measures].[Total Tax]" caption="Total Tax" measure="1" displayFolder="" measureGroup="KPI_Data" count="0" oneField="1">
      <fieldsUsage count="1">
        <fieldUsage x="2"/>
      </fieldsUsage>
    </cacheHierarchy>
    <cacheHierarchy uniqueName="[Measures].[Total Profit]" caption="Total Profit" measure="1" displayFolder="" measureGroup="KPI_Data" count="0" oneField="1">
      <fieldsUsage count="1">
        <fieldUsage x="3"/>
      </fieldsUsage>
    </cacheHierarchy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57043750001" backgroundQuery="1" createdVersion="8" refreshedVersion="8" minRefreshableVersion="3" recordCount="0" supportSubquery="1" supportAdvancedDrill="1" xr:uid="{5CD72DBB-242A-4FD2-9A2D-2EA7007F3D4D}">
  <cacheSource type="external" connectionId="2"/>
  <cacheFields count="2">
    <cacheField name="[KPI_Data].[Category].[Category]" caption="Category" numFmtId="0" hierarchy="2" level="1">
      <sharedItems count="5">
        <s v="Books"/>
        <s v="Clothing"/>
        <s v="Electronics"/>
        <s v="Food"/>
        <s v="Furniture"/>
      </sharedItems>
    </cacheField>
    <cacheField name="[Measures].[Total Revenue]" caption="Total Revenue" numFmtId="0" hierarchy="19" level="32767"/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0" memberValueDatatype="130" unbalanced="0"/>
    <cacheHierarchy uniqueName="[KPI_Data].[Category]" caption="Category" attribute="1" defaultMemberUniqueName="[KPI_Data].[Category].[All]" allUniqueName="[KPI_Data].[Category].[All]" dimensionUniqueName="[KPI_Data]" displayFolder="" count="2" memberValueDatatype="130" unbalanced="0">
      <fieldsUsage count="2">
        <fieldUsage x="-1"/>
        <fieldUsage x="0"/>
      </fieldsUsage>
    </cacheHierarchy>
    <cacheHierarchy uniqueName="[KPI_Data].[Product]" caption="Product" attribute="1" defaultMemberUniqueName="[KPI_Data].[Product].[All]" allUniqueName="[KPI_Data].[Product].[All]" dimensionUniqueName="[KPI_Data]" displayFolder="" count="0" memberValueDatatype="130" unbalanced="0"/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0" unbalanced="0"/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1"/>
      </fieldsUsage>
    </cacheHierarchy>
    <cacheHierarchy uniqueName="[Measures].[Total Tax]" caption="Total Tax" measure="1" displayFolder="" measureGroup="KPI_Data" count="0"/>
    <cacheHierarchy uniqueName="[Measures].[Total Profit]" caption="Total Profit" measure="1" displayFolder="" measureGroup="KPI_Data" count="0"/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57045601848" backgroundQuery="1" createdVersion="8" refreshedVersion="8" minRefreshableVersion="3" recordCount="0" supportSubquery="1" supportAdvancedDrill="1" xr:uid="{5292A462-BF06-420D-8585-5E395BB78D63}">
  <cacheSource type="external" connectionId="2"/>
  <cacheFields count="2">
    <cacheField name="[KPI_Data].[Region].[Region]" caption="Region" numFmtId="0" hierarchy="1" level="1">
      <sharedItems count="4">
        <s v="East"/>
        <s v="North"/>
        <s v="South"/>
        <s v="West"/>
      </sharedItems>
    </cacheField>
    <cacheField name="[Measures].[Total Revenue]" caption="Total Revenue" numFmtId="0" hierarchy="19" level="32767"/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2" memberValueDatatype="130" unbalanced="0">
      <fieldsUsage count="2">
        <fieldUsage x="-1"/>
        <fieldUsage x="0"/>
      </fieldsUsage>
    </cacheHierarchy>
    <cacheHierarchy uniqueName="[KPI_Data].[Category]" caption="Category" attribute="1" defaultMemberUniqueName="[KPI_Data].[Category].[All]" allUniqueName="[KPI_Data].[Category].[All]" dimensionUniqueName="[KPI_Data]" displayFolder="" count="0" memberValueDatatype="130" unbalanced="0"/>
    <cacheHierarchy uniqueName="[KPI_Data].[Product]" caption="Product" attribute="1" defaultMemberUniqueName="[KPI_Data].[Product].[All]" allUniqueName="[KPI_Data].[Product].[All]" dimensionUniqueName="[KPI_Data]" displayFolder="" count="0" memberValueDatatype="130" unbalanced="0"/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0" unbalanced="0"/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1"/>
      </fieldsUsage>
    </cacheHierarchy>
    <cacheHierarchy uniqueName="[Measures].[Total Tax]" caption="Total Tax" measure="1" displayFolder="" measureGroup="KPI_Data" count="0"/>
    <cacheHierarchy uniqueName="[Measures].[Total Profit]" caption="Total Profit" measure="1" displayFolder="" measureGroup="KPI_Data" count="0"/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58473379629" backgroundQuery="1" createdVersion="8" refreshedVersion="8" minRefreshableVersion="3" recordCount="0" supportSubquery="1" supportAdvancedDrill="1" xr:uid="{38FEB7A7-BDA8-4443-833F-B18327426AF1}">
  <cacheSource type="external" connectionId="2"/>
  <cacheFields count="2">
    <cacheField name="[Measures].[Total Revenue]" caption="Total Revenue" numFmtId="0" hierarchy="19" level="32767"/>
    <cacheField name="[KPI_Data].[Category].[Category]" caption="Category" numFmtId="0" hierarchy="2" level="1">
      <sharedItems count="5">
        <s v="Books"/>
        <s v="Clothing"/>
        <s v="Electronics"/>
        <s v="Food"/>
        <s v="Furniture"/>
      </sharedItems>
    </cacheField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0" memberValueDatatype="130" unbalanced="0"/>
    <cacheHierarchy uniqueName="[KPI_Data].[Category]" caption="Category" attribute="1" defaultMemberUniqueName="[KPI_Data].[Category].[All]" allUniqueName="[KPI_Data].[Category].[All]" dimensionUniqueName="[KPI_Data]" displayFolder="" count="2" memberValueDatatype="130" unbalanced="0">
      <fieldsUsage count="2">
        <fieldUsage x="-1"/>
        <fieldUsage x="1"/>
      </fieldsUsage>
    </cacheHierarchy>
    <cacheHierarchy uniqueName="[KPI_Data].[Product]" caption="Product" attribute="1" defaultMemberUniqueName="[KPI_Data].[Product].[All]" allUniqueName="[KPI_Data].[Product].[All]" dimensionUniqueName="[KPI_Data]" displayFolder="" count="0" memberValueDatatype="130" unbalanced="0"/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4" unbalanced="0"/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0"/>
      </fieldsUsage>
    </cacheHierarchy>
    <cacheHierarchy uniqueName="[Measures].[Total Tax]" caption="Total Tax" measure="1" displayFolder="" measureGroup="KPI_Data" count="0"/>
    <cacheHierarchy uniqueName="[Measures].[Total Profit]" caption="Total Profit" measure="1" displayFolder="" measureGroup="KPI_Data" count="0"/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59911921294" backgroundQuery="1" createdVersion="8" refreshedVersion="8" minRefreshableVersion="3" recordCount="0" supportSubquery="1" supportAdvancedDrill="1" xr:uid="{403DF73E-DF90-403F-AAC5-1B6206485ABF}">
  <cacheSource type="external" connectionId="2"/>
  <cacheFields count="6">
    <cacheField name="[KPI_Data].[Hierarchy1].[Year]" caption="Year" numFmtId="0" hierarchy="7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KPI_Data].[Hierarchy1].[Year].&amp;[2.023E3]"/>
            <x15:cachedUniqueName index="1" name="[KPI_Data].[Hierarchy1].[Year].&amp;[2.024E3]"/>
          </x15:cachedUniqueNames>
        </ext>
      </extLst>
    </cacheField>
    <cacheField name="[KPI_Data].[Hierarchy1].[Quarter]" caption="Quarter" numFmtId="0" hierarchy="7" level="2">
      <sharedItems count="5">
        <s v="2023Q1"/>
        <s v="2023Q2"/>
        <s v="2023Q3"/>
        <s v="2023Q4"/>
        <s v="2024Q1"/>
      </sharedItems>
      <extLst>
        <ext xmlns:x15="http://schemas.microsoft.com/office/spreadsheetml/2010/11/main" uri="{4F2E5C28-24EA-4eb8-9CBF-B6C8F9C3D259}">
          <x15:cachedUniqueNames>
            <x15:cachedUniqueName index="0" name="[KPI_Data].[Hierarchy1].[Year].&amp;[2.023E3].&amp;[2023Q1]"/>
            <x15:cachedUniqueName index="1" name="[KPI_Data].[Hierarchy1].[Year].&amp;[2.023E3].&amp;[2023Q2]"/>
            <x15:cachedUniqueName index="2" name="[KPI_Data].[Hierarchy1].[Year].&amp;[2.023E3].&amp;[2023Q3]"/>
            <x15:cachedUniqueName index="3" name="[KPI_Data].[Hierarchy1].[Year].&amp;[2.023E3].&amp;[2023Q4]"/>
            <x15:cachedUniqueName index="4" name="[KPI_Data].[Hierarchy1].[Year].&amp;[2.024E3].&amp;[2024Q1]"/>
          </x15:cachedUniqueNames>
        </ext>
      </extLst>
    </cacheField>
    <cacheField name="[KPI_Data].[Hierarchy1].[Month]" caption="Month" numFmtId="0" hierarchy="7" level="3">
      <sharedItems count="13">
        <s v="February"/>
        <s v="January"/>
        <s v="March"/>
        <s v="April"/>
        <s v="June"/>
        <s v="May"/>
        <s v="August"/>
        <s v="July"/>
        <s v="September"/>
        <s v="December"/>
        <s v="November"/>
        <s v="October"/>
        <s v="January"/>
      </sharedItems>
      <extLst>
        <ext xmlns:x15="http://schemas.microsoft.com/office/spreadsheetml/2010/11/main" uri="{4F2E5C28-24EA-4eb8-9CBF-B6C8F9C3D259}">
          <x15:cachedUniqueNames>
            <x15:cachedUniqueName index="0" name="[KPI_Data].[Hierarchy1].[Year].&amp;[2.023E3].&amp;[2023Q1].&amp;[February]"/>
            <x15:cachedUniqueName index="1" name="[KPI_Data].[Hierarchy1].[Year].&amp;[2.023E3].&amp;[2023Q1].&amp;[January]"/>
            <x15:cachedUniqueName index="2" name="[KPI_Data].[Hierarchy1].[Year].&amp;[2.023E3].&amp;[2023Q1].&amp;[March]"/>
            <x15:cachedUniqueName index="3" name="[KPI_Data].[Hierarchy1].[Year].&amp;[2.023E3].&amp;[2023Q2].&amp;[April]"/>
            <x15:cachedUniqueName index="4" name="[KPI_Data].[Hierarchy1].[Year].&amp;[2.023E3].&amp;[2023Q2].&amp;[June]"/>
            <x15:cachedUniqueName index="5" name="[KPI_Data].[Hierarchy1].[Year].&amp;[2.023E3].&amp;[2023Q2].&amp;[May]"/>
            <x15:cachedUniqueName index="6" name="[KPI_Data].[Hierarchy1].[Year].&amp;[2.023E3].&amp;[2023Q3].&amp;[August]"/>
            <x15:cachedUniqueName index="7" name="[KPI_Data].[Hierarchy1].[Year].&amp;[2.023E3].&amp;[2023Q3].&amp;[July]"/>
            <x15:cachedUniqueName index="8" name="[KPI_Data].[Hierarchy1].[Year].&amp;[2.023E3].&amp;[2023Q3].&amp;[September]"/>
            <x15:cachedUniqueName index="9" name="[KPI_Data].[Hierarchy1].[Year].&amp;[2.023E3].&amp;[2023Q4].&amp;[December]"/>
            <x15:cachedUniqueName index="10" name="[KPI_Data].[Hierarchy1].[Year].&amp;[2.023E3].&amp;[2023Q4].&amp;[November]"/>
            <x15:cachedUniqueName index="11" name="[KPI_Data].[Hierarchy1].[Year].&amp;[2.023E3].&amp;[2023Q4].&amp;[October]"/>
            <x15:cachedUniqueName index="12" name="[KPI_Data].[Hierarchy1].[Year].&amp;[2.024E3].&amp;[2024Q1].&amp;[January]"/>
          </x15:cachedUniqueNames>
        </ext>
      </extLst>
    </cacheField>
    <cacheField name="[Measures].[Total Revenue]" caption="Total Revenue" numFmtId="0" hierarchy="19" level="32767"/>
    <cacheField name="[Measures].[Total Tax]" caption="Total Tax" numFmtId="0" hierarchy="20" level="32767"/>
    <cacheField name="[Measures].[Total Profit]" caption="Total Profit" numFmtId="0" hierarchy="21" level="32767"/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0" memberValueDatatype="130" unbalanced="0"/>
    <cacheHierarchy uniqueName="[KPI_Data].[Category]" caption="Category" attribute="1" defaultMemberUniqueName="[KPI_Data].[Category].[All]" allUniqueName="[KPI_Data].[Category].[All]" dimensionUniqueName="[KPI_Data]" displayFolder="" count="0" memberValueDatatype="130" unbalanced="0"/>
    <cacheHierarchy uniqueName="[KPI_Data].[Product]" caption="Product" attribute="1" defaultMemberUniqueName="[KPI_Data].[Product].[All]" allUniqueName="[KPI_Data].[Product].[All]" dimensionUniqueName="[KPI_Data]" displayFolder="" count="0" memberValueDatatype="130" unbalanced="0"/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4" unbalanced="0">
      <fieldsUsage count="4">
        <fieldUsage x="-1"/>
        <fieldUsage x="0"/>
        <fieldUsage x="1"/>
        <fieldUsage x="2"/>
      </fieldsUsage>
    </cacheHierarchy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3"/>
      </fieldsUsage>
    </cacheHierarchy>
    <cacheHierarchy uniqueName="[Measures].[Total Tax]" caption="Total Tax" measure="1" displayFolder="" measureGroup="KPI_Data" count="0" oneField="1">
      <fieldsUsage count="1">
        <fieldUsage x="4"/>
      </fieldsUsage>
    </cacheHierarchy>
    <cacheHierarchy uniqueName="[Measures].[Total Profit]" caption="Total Profit" measure="1" displayFolder="" measureGroup="KPI_Data" count="0" oneField="1">
      <fieldsUsage count="1">
        <fieldUsage x="5"/>
      </fieldsUsage>
    </cacheHierarchy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7.963609143517" backgroundQuery="1" createdVersion="8" refreshedVersion="8" minRefreshableVersion="3" recordCount="0" supportSubquery="1" supportAdvancedDrill="1" xr:uid="{EDF0EABA-8D21-485E-BA78-D23F6EE71FDB}">
  <cacheSource type="external" connectionId="2"/>
  <cacheFields count="3">
    <cacheField name="[Measures].[Total Revenue]" caption="Total Revenue" numFmtId="0" hierarchy="19" level="32767"/>
    <cacheField name="[KPI_Data].[Category].[Category]" caption="Category" numFmtId="0" hierarchy="2" level="1">
      <sharedItems count="5">
        <s v="Books"/>
        <s v="Clothing"/>
        <s v="Electronics"/>
        <s v="Food"/>
        <s v="Furniture"/>
      </sharedItems>
    </cacheField>
    <cacheField name="[Measures].[Total Profit]" caption="Total Profit" numFmtId="0" hierarchy="21" level="32767"/>
  </cacheFields>
  <cacheHierarchies count="24">
    <cacheHierarchy uniqueName="[KPI_Data].[SaleID]" caption="SaleID" attribute="1" defaultMemberUniqueName="[KPI_Data].[SaleID].[All]" allUniqueName="[KPI_Data].[SaleID].[All]" dimensionUniqueName="[KPI_Data]" displayFolder="" count="0" memberValueDatatype="5" unbalanced="0"/>
    <cacheHierarchy uniqueName="[KPI_Data].[Region]" caption="Region" attribute="1" defaultMemberUniqueName="[KPI_Data].[Region].[All]" allUniqueName="[KPI_Data].[Region].[All]" dimensionUniqueName="[KPI_Data]" displayFolder="" count="0" memberValueDatatype="130" unbalanced="0"/>
    <cacheHierarchy uniqueName="[KPI_Data].[Category]" caption="Category" attribute="1" defaultMemberUniqueName="[KPI_Data].[Category].[All]" allUniqueName="[KPI_Data].[Category].[All]" dimensionUniqueName="[KPI_Data]" displayFolder="" count="2" memberValueDatatype="130" unbalanced="0">
      <fieldsUsage count="2">
        <fieldUsage x="-1"/>
        <fieldUsage x="1"/>
      </fieldsUsage>
    </cacheHierarchy>
    <cacheHierarchy uniqueName="[KPI_Data].[Product]" caption="Product" attribute="1" defaultMemberUniqueName="[KPI_Data].[Product].[All]" allUniqueName="[KPI_Data].[Product].[All]" dimensionUniqueName="[KPI_Data]" displayFolder="" count="0" memberValueDatatype="130" unbalanced="0"/>
    <cacheHierarchy uniqueName="[KPI_Data].[Date]" caption="Date" attribute="1" time="1" defaultMemberUniqueName="[KPI_Data].[Date].[All]" allUniqueName="[KPI_Data].[Date].[All]" dimensionUniqueName="[KPI_Data]" displayFolder="" count="0" memberValueDatatype="7" unbalanced="0"/>
    <cacheHierarchy uniqueName="[KPI_Data].[Quantity]" caption="Quantity" attribute="1" defaultMemberUniqueName="[KPI_Data].[Quantity].[All]" allUniqueName="[KPI_Data].[Quantity].[All]" dimensionUniqueName="[KPI_Data]" displayFolder="" count="0" memberValueDatatype="5" unbalanced="0"/>
    <cacheHierarchy uniqueName="[KPI_Data].[UnitPrice]" caption="UnitPrice" attribute="1" defaultMemberUniqueName="[KPI_Data].[UnitPrice].[All]" allUniqueName="[KPI_Data].[UnitPrice].[All]" dimensionUniqueName="[KPI_Data]" displayFolder="" count="0" memberValueDatatype="5" unbalanced="0"/>
    <cacheHierarchy uniqueName="[KPI_Data].[Hierarchy1]" caption="Hierarchy1" defaultMemberUniqueName="[KPI_Data].[Hierarchy1].[All]" allUniqueName="[KPI_Data].[Hierarchy1].[All]" dimensionUniqueName="[KPI_Data]" displayFolder="" count="4" unbalanced="0"/>
    <cacheHierarchy uniqueName="[KPI_Data].[Sales]" caption="Sales" attribute="1" defaultMemberUniqueName="[KPI_Data].[Sales].[All]" allUniqueName="[KPI_Data].[Sales].[All]" dimensionUniqueName="[KPI_Data]" displayFolder="" count="0" memberValueDatatype="5" unbalanced="0"/>
    <cacheHierarchy uniqueName="[KPI_Data].[Target]" caption="Target" attribute="1" defaultMemberUniqueName="[KPI_Data].[Target].[All]" allUniqueName="[KPI_Data].[Target].[All]" dimensionUniqueName="[KPI_Data]" displayFolder="" count="0" memberValueDatatype="5" unbalanced="0"/>
    <cacheHierarchy uniqueName="[KPI_Data].[Year]" caption="Year" attribute="1" defaultMemberUniqueName="[KPI_Data].[Year].[All]" allUniqueName="[KPI_Data].[Year].[All]" dimensionUniqueName="[KPI_Data]" displayFolder="" count="0" memberValueDatatype="5" unbalanced="0"/>
    <cacheHierarchy uniqueName="[KPI_Data].[Quarter]" caption="Quarter" attribute="1" defaultMemberUniqueName="[KPI_Data].[Quarter].[All]" allUniqueName="[KPI_Data].[Quarter].[All]" dimensionUniqueName="[KPI_Data]" displayFolder="" count="0" memberValueDatatype="130" unbalanced="0"/>
    <cacheHierarchy uniqueName="[KPI_Data].[Month]" caption="Month" attribute="1" defaultMemberUniqueName="[KPI_Data].[Month].[All]" allUniqueName="[KPI_Data].[Month].[All]" dimensionUniqueName="[KPI_Data]" displayFolder="" count="0" memberValueDatatype="130" unbalanced="0"/>
    <cacheHierarchy uniqueName="[KPI_Data].[Target_Left]" caption="Target_Left" attribute="1" defaultMemberUniqueName="[KPI_Data].[Target_Left].[All]" allUniqueName="[KPI_Data].[Target_Left].[All]" dimensionUniqueName="[KPI_Data]" displayFolder="" count="0" memberValueDatatype="5" unbalanced="0"/>
    <cacheHierarchy uniqueName="[KPI_Data].[F14]" caption="F14" attribute="1" defaultMemberUniqueName="[KPI_Data].[F14].[All]" allUniqueName="[KPI_Data].[F14].[All]" dimensionUniqueName="[KPI_Data]" displayFolder="" count="0" memberValueDatatype="11" unbalanced="0"/>
    <cacheHierarchy uniqueName="[KPI_Data].[Checkbox]" caption="Checkbox" attribute="1" defaultMemberUniqueName="[KPI_Data].[Checkbox].[All]" allUniqueName="[KPI_Data].[Checkbox].[All]" dimensionUniqueName="[KPI_Data]" displayFolder="" count="0" memberValueDatatype="130" unbalanced="0"/>
    <cacheHierarchy uniqueName="[KPI_Data].[Dropdown]" caption="Dropdown" attribute="1" defaultMemberUniqueName="[KPI_Data].[Dropdown].[All]" allUniqueName="[KPI_Data].[Dropdown].[All]" dimensionUniqueName="[KPI_Data]" displayFolder="" count="0" memberValueDatatype="5" unbalanced="0"/>
    <cacheHierarchy uniqueName="[KPI_Data].[F17]" caption="F17" attribute="1" defaultMemberUniqueName="[KPI_Data].[F17].[All]" allUniqueName="[KPI_Data].[F17].[All]" dimensionUniqueName="[KPI_Data]" displayFolder="" count="0" memberValueDatatype="5" unbalanced="0"/>
    <cacheHierarchy uniqueName="[KPI_Data].[F18]" caption="F18" attribute="1" defaultMemberUniqueName="[KPI_Data].[F18].[All]" allUniqueName="[KPI_Data].[F18].[All]" dimensionUniqueName="[KPI_Data]" displayFolder="" count="0" memberValueDatatype="130" unbalanced="0"/>
    <cacheHierarchy uniqueName="[Measures].[Total Revenue]" caption="Total Revenue" measure="1" displayFolder="" measureGroup="KPI_Data" count="0" oneField="1">
      <fieldsUsage count="1">
        <fieldUsage x="0"/>
      </fieldsUsage>
    </cacheHierarchy>
    <cacheHierarchy uniqueName="[Measures].[Total Tax]" caption="Total Tax" measure="1" displayFolder="" measureGroup="KPI_Data" count="0"/>
    <cacheHierarchy uniqueName="[Measures].[Total Profit]" caption="Total Profit" measure="1" displayFolder="" measureGroup="KPI_Data" count="0" oneField="1">
      <fieldsUsage count="1">
        <fieldUsage x="2"/>
      </fieldsUsage>
    </cacheHierarchy>
    <cacheHierarchy uniqueName="[Measures].[__XL_Count KPI_Data]" caption="__XL_Count KPI_Data" measure="1" displayFolder="" measureGroup="KPI_Data" count="0" hidden="1"/>
    <cacheHierarchy uniqueName="[Measures].[__No measures defined]" caption="__No measures defined" measure="1" displayFolder="" count="0" hidden="1"/>
  </cacheHierarchies>
  <kpis count="0"/>
  <dimensions count="2">
    <dimension name="KPI_Data" uniqueName="[KPI_Data]" caption="KPI_Data"/>
    <dimension measure="1" name="Measures" uniqueName="[Measures]" caption="Measures"/>
  </dimensions>
  <measureGroups count="1">
    <measureGroup name="KPI_Data" caption="KPI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475AE-D5F8-4EE1-9B94-5B1AF14502B9}" name="PivotTable3" cacheId="71" applyNumberFormats="0" applyBorderFormats="0" applyFontFormats="0" applyPatternFormats="0" applyAlignmentFormats="0" applyWidthHeightFormats="1" dataCaption="Values" tag="eafd7ae2-1bca-4172-a792-e0f2a1a27d28" updatedVersion="8" minRefreshableVersion="3" useAutoFormatting="1" itemPrintTitles="1" createdVersion="8" indent="0" outline="1" outlineData="1" multipleFieldFilters="0" chartFormat="2" rowHeaderCaption="Region">
  <location ref="C7:D1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8E79E-4975-48F0-8656-05C2FB8C9899}" name="PivotTable4" cacheId="68" applyNumberFormats="0" applyBorderFormats="0" applyFontFormats="0" applyPatternFormats="0" applyAlignmentFormats="0" applyWidthHeightFormats="1" dataCaption="Values" tag="361d43d2-1385-4936-8b55-74315c3b8d81" updatedVersion="8" minRefreshableVersion="3" useAutoFormatting="1" itemPrintTitles="1" createdVersion="8" indent="0" outline="1" outlineData="1" multipleFieldFilters="0" chartFormat="7" rowHeaderCaption="Category">
  <location ref="C7:D13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B9934-CA51-4E1C-8339-04FA808E0D78}" name="PivotTable6" cacheId="65" applyNumberFormats="0" applyBorderFormats="0" applyFontFormats="0" applyPatternFormats="0" applyAlignmentFormats="0" applyWidthHeightFormats="1" dataCaption="Values" tag="c75728da-e3f7-4cd0-ab8b-845cf5bc5eaf" updatedVersion="8" minRefreshableVersion="3" useAutoFormatting="1" itemPrintTitles="1" createdVersion="8" indent="0" outline="1" outlineData="1" multipleFieldFilters="0" chartFormat="2">
  <location ref="C8:F24" firstHeaderRow="0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141B5-053B-4289-B57A-E50C6261E248}" name="PivotTable8" cacheId="109" applyNumberFormats="0" applyBorderFormats="0" applyFontFormats="0" applyPatternFormats="0" applyAlignmentFormats="0" applyWidthHeightFormats="1" dataCaption="Values" tag="bb25b91f-b482-41c0-8af5-0ecfa867ce7a" updatedVersion="8" minRefreshableVersion="3" useAutoFormatting="1" itemPrintTitles="1" createdVersion="8" indent="0" outline="1" outlineData="1" multipleFieldFilters="0" chartFormat="2" rowHeaderCaption="Category">
  <location ref="C6:D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BADC0-2EB5-4AFE-9AFF-B12958F29690}" name="PivotTable10" cacheId="146" applyNumberFormats="0" applyBorderFormats="0" applyFontFormats="0" applyPatternFormats="0" applyAlignmentFormats="0" applyWidthHeightFormats="1" dataCaption="Values" tag="4ddb6962-cada-4cb9-8d14-f8532325ae78" updatedVersion="8" minRefreshableVersion="3" useAutoFormatting="1" itemPrintTitles="1" createdVersion="8" indent="0" outline="1" outlineData="1" multipleFieldFilters="0" chartFormat="2" rowHeaderCaption="Date">
  <location ref="C8:F29" firstHeaderRow="0" firstDataRow="1" firstDataCol="1"/>
  <pivotFields count="6"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5">
        <item c="1" x="0" d="1"/>
        <item c="1" x="1" d="1"/>
        <item c="1" x="2" d="1"/>
        <item c="1" x="3" d="1"/>
        <item c="1" x="4" d="1"/>
      </items>
    </pivotField>
    <pivotField axis="axisRow" subtotalTop="0" showAll="0" dataSourceSort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21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 v="4"/>
    </i>
    <i r="2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4" subtotal="count" baseField="0" baseItem="0"/>
    <dataField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8BC3D-87BA-48B6-8F2B-D20F5E8C8C2D}" name="PivotTable11" cacheId="190" applyNumberFormats="0" applyBorderFormats="0" applyFontFormats="0" applyPatternFormats="0" applyAlignmentFormats="0" applyWidthHeightFormats="1" dataCaption="Values" tag="a5d1f611-3de6-4c13-a8d4-d674c258673b" updatedVersion="8" minRefreshableVersion="3" useAutoFormatting="1" subtotalHiddenItems="1" itemPrintTitles="1" createdVersion="8" indent="0" outline="1" outlineData="1" multipleFieldFilters="0" chartFormat="8" rowHeaderCaption="Category">
  <location ref="C8:E1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PI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2734-3930-402F-857E-99D3B3DB40B7}">
  <dimension ref="C7:D12"/>
  <sheetViews>
    <sheetView topLeftCell="B2" zoomScale="123" zoomScaleNormal="100" workbookViewId="0">
      <selection activeCell="C8" sqref="C8"/>
    </sheetView>
  </sheetViews>
  <sheetFormatPr defaultRowHeight="14.4" x14ac:dyDescent="0.3"/>
  <cols>
    <col min="3" max="3" width="10.88671875" bestFit="1" customWidth="1"/>
    <col min="4" max="4" width="13.21875" bestFit="1" customWidth="1"/>
  </cols>
  <sheetData>
    <row r="7" spans="3:4" x14ac:dyDescent="0.3">
      <c r="C7" s="1" t="s">
        <v>13</v>
      </c>
      <c r="D7" t="s">
        <v>6</v>
      </c>
    </row>
    <row r="8" spans="3:4" x14ac:dyDescent="0.3">
      <c r="C8" s="2" t="s">
        <v>1</v>
      </c>
      <c r="D8" s="3">
        <v>186135</v>
      </c>
    </row>
    <row r="9" spans="3:4" x14ac:dyDescent="0.3">
      <c r="C9" s="2" t="s">
        <v>2</v>
      </c>
      <c r="D9" s="3">
        <v>142258</v>
      </c>
    </row>
    <row r="10" spans="3:4" x14ac:dyDescent="0.3">
      <c r="C10" s="2" t="s">
        <v>3</v>
      </c>
      <c r="D10" s="3">
        <v>147334</v>
      </c>
    </row>
    <row r="11" spans="3:4" x14ac:dyDescent="0.3">
      <c r="C11" s="2" t="s">
        <v>4</v>
      </c>
      <c r="D11" s="3">
        <v>129812</v>
      </c>
    </row>
    <row r="12" spans="3:4" x14ac:dyDescent="0.3">
      <c r="C12" s="2" t="s">
        <v>5</v>
      </c>
      <c r="D12" s="3">
        <v>605539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2DD7-65D5-46A3-B215-16CE979C5050}">
  <dimension ref="C7:D13"/>
  <sheetViews>
    <sheetView workbookViewId="0">
      <selection activeCell="C8" sqref="C8"/>
    </sheetView>
  </sheetViews>
  <sheetFormatPr defaultRowHeight="14.4" x14ac:dyDescent="0.3"/>
  <cols>
    <col min="3" max="3" width="10.77734375" bestFit="1" customWidth="1"/>
    <col min="4" max="4" width="13.109375" bestFit="1" customWidth="1"/>
  </cols>
  <sheetData>
    <row r="7" spans="3:4" x14ac:dyDescent="0.3">
      <c r="C7" s="1" t="s">
        <v>12</v>
      </c>
      <c r="D7" t="s">
        <v>6</v>
      </c>
    </row>
    <row r="8" spans="3:4" x14ac:dyDescent="0.3">
      <c r="C8" s="2" t="s">
        <v>7</v>
      </c>
      <c r="D8" s="3">
        <v>128379</v>
      </c>
    </row>
    <row r="9" spans="3:4" x14ac:dyDescent="0.3">
      <c r="C9" s="2" t="s">
        <v>8</v>
      </c>
      <c r="D9" s="3">
        <v>104525</v>
      </c>
    </row>
    <row r="10" spans="3:4" x14ac:dyDescent="0.3">
      <c r="C10" s="2" t="s">
        <v>9</v>
      </c>
      <c r="D10" s="3">
        <v>124242</v>
      </c>
    </row>
    <row r="11" spans="3:4" x14ac:dyDescent="0.3">
      <c r="C11" s="2" t="s">
        <v>10</v>
      </c>
      <c r="D11" s="3">
        <v>155146</v>
      </c>
    </row>
    <row r="12" spans="3:4" x14ac:dyDescent="0.3">
      <c r="C12" s="2" t="s">
        <v>11</v>
      </c>
      <c r="D12" s="3">
        <v>93247</v>
      </c>
    </row>
    <row r="13" spans="3:4" x14ac:dyDescent="0.3">
      <c r="C13" s="2" t="s">
        <v>5</v>
      </c>
      <c r="D13" s="3">
        <v>605539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EEA2-2575-4AE6-964E-7F68F89DE2E0}">
  <dimension ref="C8:F24"/>
  <sheetViews>
    <sheetView workbookViewId="0">
      <selection activeCell="E21" sqref="E21"/>
    </sheetView>
  </sheetViews>
  <sheetFormatPr defaultRowHeight="14.4" x14ac:dyDescent="0.3"/>
  <cols>
    <col min="3" max="3" width="12.5546875" bestFit="1" customWidth="1"/>
    <col min="4" max="4" width="13.109375" bestFit="1" customWidth="1"/>
    <col min="5" max="5" width="10" bestFit="1" customWidth="1"/>
    <col min="6" max="6" width="10.33203125" bestFit="1" customWidth="1"/>
  </cols>
  <sheetData>
    <row r="8" spans="3:6" x14ac:dyDescent="0.3">
      <c r="C8" s="1" t="s">
        <v>0</v>
      </c>
      <c r="D8" t="s">
        <v>6</v>
      </c>
      <c r="E8" t="s">
        <v>29</v>
      </c>
      <c r="F8" t="s">
        <v>30</v>
      </c>
    </row>
    <row r="9" spans="3:6" x14ac:dyDescent="0.3">
      <c r="C9" s="2" t="s">
        <v>14</v>
      </c>
      <c r="D9" s="3">
        <v>65625</v>
      </c>
      <c r="E9" s="3">
        <v>11812.5</v>
      </c>
      <c r="F9" s="3">
        <v>53812.5</v>
      </c>
    </row>
    <row r="10" spans="3:6" x14ac:dyDescent="0.3">
      <c r="C10" s="2" t="s">
        <v>15</v>
      </c>
      <c r="D10" s="3">
        <v>26497</v>
      </c>
      <c r="E10" s="3">
        <v>4769.46</v>
      </c>
      <c r="F10" s="3">
        <v>21727.54</v>
      </c>
    </row>
    <row r="11" spans="3:6" x14ac:dyDescent="0.3">
      <c r="C11" s="2" t="s">
        <v>16</v>
      </c>
      <c r="D11" s="3">
        <v>48978</v>
      </c>
      <c r="E11" s="3">
        <v>8816.0399999999991</v>
      </c>
      <c r="F11" s="3">
        <v>40161.96</v>
      </c>
    </row>
    <row r="12" spans="3:6" x14ac:dyDescent="0.3">
      <c r="C12" s="2" t="s">
        <v>17</v>
      </c>
      <c r="D12" s="3">
        <v>51776</v>
      </c>
      <c r="E12" s="3">
        <v>9319.68</v>
      </c>
      <c r="F12" s="3">
        <v>42456.32</v>
      </c>
    </row>
    <row r="13" spans="3:6" x14ac:dyDescent="0.3">
      <c r="C13" s="2" t="s">
        <v>18</v>
      </c>
      <c r="D13" s="3">
        <v>45484</v>
      </c>
      <c r="E13" s="3">
        <v>8187.12</v>
      </c>
      <c r="F13" s="3">
        <v>37296.879999999997</v>
      </c>
    </row>
    <row r="14" spans="3:6" x14ac:dyDescent="0.3">
      <c r="C14" s="2" t="s">
        <v>19</v>
      </c>
      <c r="D14" s="3">
        <v>48227</v>
      </c>
      <c r="E14" s="3">
        <v>8680.86</v>
      </c>
      <c r="F14" s="3">
        <v>39546.14</v>
      </c>
    </row>
    <row r="15" spans="3:6" x14ac:dyDescent="0.3">
      <c r="C15" s="2" t="s">
        <v>20</v>
      </c>
      <c r="D15" s="3">
        <v>37445</v>
      </c>
      <c r="E15" s="3">
        <v>6740.0999999999995</v>
      </c>
      <c r="F15" s="3">
        <v>30704.9</v>
      </c>
    </row>
    <row r="16" spans="3:6" x14ac:dyDescent="0.3">
      <c r="C16" s="2" t="s">
        <v>21</v>
      </c>
      <c r="D16" s="3">
        <v>46236</v>
      </c>
      <c r="E16" s="3">
        <v>8322.48</v>
      </c>
      <c r="F16" s="3">
        <v>37913.520000000004</v>
      </c>
    </row>
    <row r="17" spans="3:6" x14ac:dyDescent="0.3">
      <c r="C17" s="2" t="s">
        <v>22</v>
      </c>
      <c r="D17" s="3">
        <v>37745</v>
      </c>
      <c r="E17" s="3">
        <v>6794.0999999999995</v>
      </c>
      <c r="F17" s="3">
        <v>30950.9</v>
      </c>
    </row>
    <row r="18" spans="3:6" x14ac:dyDescent="0.3">
      <c r="C18" s="2" t="s">
        <v>23</v>
      </c>
      <c r="D18" s="3">
        <v>34282</v>
      </c>
      <c r="E18" s="3">
        <v>6170.76</v>
      </c>
      <c r="F18" s="3">
        <v>28111.239999999998</v>
      </c>
    </row>
    <row r="19" spans="3:6" x14ac:dyDescent="0.3">
      <c r="C19" s="2" t="s">
        <v>24</v>
      </c>
      <c r="D19" s="3">
        <v>31174</v>
      </c>
      <c r="E19" s="3">
        <v>5611.32</v>
      </c>
      <c r="F19" s="3">
        <v>25562.68</v>
      </c>
    </row>
    <row r="20" spans="3:6" x14ac:dyDescent="0.3">
      <c r="C20" s="2" t="s">
        <v>25</v>
      </c>
      <c r="D20" s="3">
        <v>32798</v>
      </c>
      <c r="E20" s="3">
        <v>5903.6399999999994</v>
      </c>
      <c r="F20" s="3">
        <v>26894.36</v>
      </c>
    </row>
    <row r="21" spans="3:6" x14ac:dyDescent="0.3">
      <c r="C21" s="2" t="s">
        <v>26</v>
      </c>
      <c r="D21" s="3">
        <v>32522</v>
      </c>
      <c r="E21" s="3">
        <v>5853.96</v>
      </c>
      <c r="F21" s="3">
        <v>26668.04</v>
      </c>
    </row>
    <row r="22" spans="3:6" x14ac:dyDescent="0.3">
      <c r="C22" s="2" t="s">
        <v>27</v>
      </c>
      <c r="D22" s="3">
        <v>30232</v>
      </c>
      <c r="E22" s="3">
        <v>5441.76</v>
      </c>
      <c r="F22" s="3">
        <v>24790.239999999998</v>
      </c>
    </row>
    <row r="23" spans="3:6" x14ac:dyDescent="0.3">
      <c r="C23" s="2" t="s">
        <v>28</v>
      </c>
      <c r="D23" s="3">
        <v>36518</v>
      </c>
      <c r="E23" s="3">
        <v>6573.24</v>
      </c>
      <c r="F23" s="3">
        <v>29944.760000000002</v>
      </c>
    </row>
    <row r="24" spans="3:6" x14ac:dyDescent="0.3">
      <c r="C24" s="2" t="s">
        <v>5</v>
      </c>
      <c r="D24" s="3">
        <v>605539</v>
      </c>
      <c r="E24" s="3">
        <v>108997.01999999999</v>
      </c>
      <c r="F24" s="3">
        <v>496541.98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C1CD-F5A4-427F-BCAE-B308D850CD3D}">
  <dimension ref="C6:D12"/>
  <sheetViews>
    <sheetView workbookViewId="0">
      <selection activeCell="C7" sqref="C7"/>
    </sheetView>
  </sheetViews>
  <sheetFormatPr defaultRowHeight="14.4" x14ac:dyDescent="0.3"/>
  <cols>
    <col min="3" max="3" width="12.5546875" bestFit="1" customWidth="1"/>
    <col min="4" max="4" width="13.109375" bestFit="1" customWidth="1"/>
  </cols>
  <sheetData>
    <row r="6" spans="3:4" x14ac:dyDescent="0.3">
      <c r="C6" s="1" t="s">
        <v>12</v>
      </c>
      <c r="D6" t="s">
        <v>6</v>
      </c>
    </row>
    <row r="7" spans="3:4" x14ac:dyDescent="0.3">
      <c r="C7" s="2" t="s">
        <v>7</v>
      </c>
      <c r="D7" s="3">
        <v>128379</v>
      </c>
    </row>
    <row r="8" spans="3:4" x14ac:dyDescent="0.3">
      <c r="C8" s="2" t="s">
        <v>8</v>
      </c>
      <c r="D8" s="3">
        <v>104525</v>
      </c>
    </row>
    <row r="9" spans="3:4" x14ac:dyDescent="0.3">
      <c r="C9" s="2" t="s">
        <v>9</v>
      </c>
      <c r="D9" s="3">
        <v>124242</v>
      </c>
    </row>
    <row r="10" spans="3:4" x14ac:dyDescent="0.3">
      <c r="C10" s="2" t="s">
        <v>10</v>
      </c>
      <c r="D10" s="3">
        <v>155146</v>
      </c>
    </row>
    <row r="11" spans="3:4" x14ac:dyDescent="0.3">
      <c r="C11" s="2" t="s">
        <v>11</v>
      </c>
      <c r="D11" s="3">
        <v>93247</v>
      </c>
    </row>
    <row r="12" spans="3:4" x14ac:dyDescent="0.3">
      <c r="C12" s="2" t="s">
        <v>5</v>
      </c>
      <c r="D12" s="3">
        <v>605539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CF42-C89B-414C-84CB-89699384EC14}">
  <dimension ref="C8:F29"/>
  <sheetViews>
    <sheetView workbookViewId="0">
      <selection activeCell="C9" sqref="C9"/>
    </sheetView>
  </sheetViews>
  <sheetFormatPr defaultRowHeight="14.4" x14ac:dyDescent="0.3"/>
  <cols>
    <col min="3" max="3" width="15.77734375" bestFit="1" customWidth="1"/>
    <col min="4" max="4" width="13.109375" bestFit="1" customWidth="1"/>
    <col min="5" max="5" width="10" bestFit="1" customWidth="1"/>
    <col min="6" max="6" width="10.33203125" bestFit="1" customWidth="1"/>
  </cols>
  <sheetData>
    <row r="8" spans="3:6" x14ac:dyDescent="0.3">
      <c r="C8" s="1" t="s">
        <v>48</v>
      </c>
      <c r="D8" t="s">
        <v>6</v>
      </c>
      <c r="E8" t="s">
        <v>29</v>
      </c>
      <c r="F8" t="s">
        <v>30</v>
      </c>
    </row>
    <row r="9" spans="3:6" x14ac:dyDescent="0.3">
      <c r="C9" s="2">
        <v>2023</v>
      </c>
      <c r="D9" s="3"/>
      <c r="E9" s="3"/>
      <c r="F9" s="3"/>
    </row>
    <row r="10" spans="3:6" x14ac:dyDescent="0.3">
      <c r="C10" s="4" t="s">
        <v>31</v>
      </c>
      <c r="D10" s="3"/>
      <c r="E10" s="3"/>
      <c r="F10" s="3"/>
    </row>
    <row r="11" spans="3:6" x14ac:dyDescent="0.3">
      <c r="C11" s="5" t="s">
        <v>46</v>
      </c>
      <c r="D11" s="3">
        <v>44262</v>
      </c>
      <c r="E11" s="3">
        <v>7967.16</v>
      </c>
      <c r="F11" s="3">
        <v>36294.839999999997</v>
      </c>
    </row>
    <row r="12" spans="3:6" x14ac:dyDescent="0.3">
      <c r="C12" s="5" t="s">
        <v>36</v>
      </c>
      <c r="D12" s="3">
        <v>21018</v>
      </c>
      <c r="E12" s="3">
        <v>3783.24</v>
      </c>
      <c r="F12" s="3">
        <v>17234.760000000002</v>
      </c>
    </row>
    <row r="13" spans="3:6" x14ac:dyDescent="0.3">
      <c r="C13" s="5" t="s">
        <v>47</v>
      </c>
      <c r="D13" s="3">
        <v>17758</v>
      </c>
      <c r="E13" s="3">
        <v>3196.44</v>
      </c>
      <c r="F13" s="3">
        <v>14561.56</v>
      </c>
    </row>
    <row r="14" spans="3:6" x14ac:dyDescent="0.3">
      <c r="C14" s="4" t="s">
        <v>32</v>
      </c>
      <c r="D14" s="3"/>
      <c r="E14" s="3"/>
      <c r="F14" s="3"/>
    </row>
    <row r="15" spans="3:6" x14ac:dyDescent="0.3">
      <c r="C15" s="5" t="s">
        <v>43</v>
      </c>
      <c r="D15" s="3">
        <v>46742</v>
      </c>
      <c r="E15" s="3">
        <v>8413.56</v>
      </c>
      <c r="F15" s="3">
        <v>38328.44</v>
      </c>
    </row>
    <row r="16" spans="3:6" x14ac:dyDescent="0.3">
      <c r="C16" s="5" t="s">
        <v>44</v>
      </c>
      <c r="D16" s="3">
        <v>75772</v>
      </c>
      <c r="E16" s="3">
        <v>13638.96</v>
      </c>
      <c r="F16" s="3">
        <v>62133.04</v>
      </c>
    </row>
    <row r="17" spans="3:6" x14ac:dyDescent="0.3">
      <c r="C17" s="5" t="s">
        <v>45</v>
      </c>
      <c r="D17" s="3">
        <v>53300</v>
      </c>
      <c r="E17" s="3">
        <v>9594</v>
      </c>
      <c r="F17" s="3">
        <v>43706</v>
      </c>
    </row>
    <row r="18" spans="3:6" x14ac:dyDescent="0.3">
      <c r="C18" s="4" t="s">
        <v>33</v>
      </c>
      <c r="D18" s="3"/>
      <c r="E18" s="3"/>
      <c r="F18" s="3"/>
    </row>
    <row r="19" spans="3:6" x14ac:dyDescent="0.3">
      <c r="C19" s="5" t="s">
        <v>40</v>
      </c>
      <c r="D19" s="3">
        <v>68355</v>
      </c>
      <c r="E19" s="3">
        <v>12303.9</v>
      </c>
      <c r="F19" s="3">
        <v>56051.1</v>
      </c>
    </row>
    <row r="20" spans="3:6" x14ac:dyDescent="0.3">
      <c r="C20" s="5" t="s">
        <v>41</v>
      </c>
      <c r="D20" s="3">
        <v>47314</v>
      </c>
      <c r="E20" s="3">
        <v>8516.52</v>
      </c>
      <c r="F20" s="3">
        <v>38797.479999999996</v>
      </c>
    </row>
    <row r="21" spans="3:6" x14ac:dyDescent="0.3">
      <c r="C21" s="5" t="s">
        <v>42</v>
      </c>
      <c r="D21" s="3">
        <v>30513</v>
      </c>
      <c r="E21" s="3">
        <v>5492.34</v>
      </c>
      <c r="F21" s="3">
        <v>25020.66</v>
      </c>
    </row>
    <row r="22" spans="3:6" x14ac:dyDescent="0.3">
      <c r="C22" s="4" t="s">
        <v>34</v>
      </c>
      <c r="D22" s="3"/>
      <c r="E22" s="3"/>
      <c r="F22" s="3"/>
    </row>
    <row r="23" spans="3:6" x14ac:dyDescent="0.3">
      <c r="C23" s="5" t="s">
        <v>37</v>
      </c>
      <c r="D23" s="3">
        <v>78071</v>
      </c>
      <c r="E23" s="3">
        <v>14052.779999999999</v>
      </c>
      <c r="F23" s="3">
        <v>64018.22</v>
      </c>
    </row>
    <row r="24" spans="3:6" x14ac:dyDescent="0.3">
      <c r="C24" s="5" t="s">
        <v>38</v>
      </c>
      <c r="D24" s="3">
        <v>71280</v>
      </c>
      <c r="E24" s="3">
        <v>12830.4</v>
      </c>
      <c r="F24" s="3">
        <v>58449.599999999999</v>
      </c>
    </row>
    <row r="25" spans="3:6" x14ac:dyDescent="0.3">
      <c r="C25" s="5" t="s">
        <v>39</v>
      </c>
      <c r="D25" s="3">
        <v>48614</v>
      </c>
      <c r="E25" s="3">
        <v>8750.52</v>
      </c>
      <c r="F25" s="3">
        <v>39863.479999999996</v>
      </c>
    </row>
    <row r="26" spans="3:6" x14ac:dyDescent="0.3">
      <c r="C26" s="2">
        <v>2024</v>
      </c>
      <c r="D26" s="3"/>
      <c r="E26" s="3"/>
      <c r="F26" s="3"/>
    </row>
    <row r="27" spans="3:6" x14ac:dyDescent="0.3">
      <c r="C27" s="4" t="s">
        <v>35</v>
      </c>
      <c r="D27" s="3"/>
      <c r="E27" s="3"/>
      <c r="F27" s="3"/>
    </row>
    <row r="28" spans="3:6" x14ac:dyDescent="0.3">
      <c r="C28" s="5" t="s">
        <v>36</v>
      </c>
      <c r="D28" s="3">
        <v>2540</v>
      </c>
      <c r="E28" s="3">
        <v>457.2</v>
      </c>
      <c r="F28" s="3">
        <v>2082.8000000000002</v>
      </c>
    </row>
    <row r="29" spans="3:6" x14ac:dyDescent="0.3">
      <c r="C29" s="2" t="s">
        <v>5</v>
      </c>
      <c r="D29" s="3">
        <v>605539</v>
      </c>
      <c r="E29" s="3">
        <v>108997.01999999999</v>
      </c>
      <c r="F29" s="3">
        <v>496541.98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6D34-F15B-4AC6-BE5E-5220C1E96492}">
  <dimension ref="C8:E14"/>
  <sheetViews>
    <sheetView tabSelected="1" topLeftCell="B1" zoomScaleNormal="100" workbookViewId="0">
      <selection activeCell="C24" sqref="C24"/>
    </sheetView>
  </sheetViews>
  <sheetFormatPr defaultRowHeight="14.4" x14ac:dyDescent="0.3"/>
  <cols>
    <col min="3" max="3" width="12.5546875" bestFit="1" customWidth="1"/>
    <col min="4" max="4" width="13.109375" bestFit="1" customWidth="1"/>
    <col min="5" max="6" width="10.33203125" bestFit="1" customWidth="1"/>
  </cols>
  <sheetData>
    <row r="8" spans="3:5" x14ac:dyDescent="0.3">
      <c r="C8" s="1" t="s">
        <v>12</v>
      </c>
      <c r="D8" t="s">
        <v>6</v>
      </c>
      <c r="E8" t="s">
        <v>30</v>
      </c>
    </row>
    <row r="9" spans="3:5" x14ac:dyDescent="0.3">
      <c r="C9" s="2" t="s">
        <v>7</v>
      </c>
      <c r="D9" s="3">
        <v>128379</v>
      </c>
      <c r="E9" s="3">
        <v>105270.78</v>
      </c>
    </row>
    <row r="10" spans="3:5" x14ac:dyDescent="0.3">
      <c r="C10" s="2" t="s">
        <v>8</v>
      </c>
      <c r="D10" s="3">
        <v>104525</v>
      </c>
      <c r="E10" s="3">
        <v>85710.5</v>
      </c>
    </row>
    <row r="11" spans="3:5" x14ac:dyDescent="0.3">
      <c r="C11" s="2" t="s">
        <v>9</v>
      </c>
      <c r="D11" s="3">
        <v>124242</v>
      </c>
      <c r="E11" s="3">
        <v>101878.44</v>
      </c>
    </row>
    <row r="12" spans="3:5" x14ac:dyDescent="0.3">
      <c r="C12" s="2" t="s">
        <v>10</v>
      </c>
      <c r="D12" s="3">
        <v>155146</v>
      </c>
      <c r="E12" s="3">
        <v>127219.72</v>
      </c>
    </row>
    <row r="13" spans="3:5" x14ac:dyDescent="0.3">
      <c r="C13" s="2" t="s">
        <v>11</v>
      </c>
      <c r="D13" s="3">
        <v>93247</v>
      </c>
      <c r="E13" s="3">
        <v>76462.540000000008</v>
      </c>
    </row>
    <row r="14" spans="3:5" x14ac:dyDescent="0.3">
      <c r="C14" s="2" t="s">
        <v>5</v>
      </c>
      <c r="D14" s="3">
        <v>605539</v>
      </c>
      <c r="E14" s="3">
        <v>496541.98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7C640847-E671-4E5B-9F7B-AAA05043B0D0}">
  <ds:schemaRefs/>
</ds:datastoreItem>
</file>

<file path=customXml/itemProps2.xml><?xml version="1.0" encoding="utf-8"?>
<ds:datastoreItem xmlns:ds="http://schemas.openxmlformats.org/officeDocument/2006/customXml" ds:itemID="{47479BAB-D6B7-4B8B-AD68-606C2790B83F}">
  <ds:schemaRefs/>
</ds:datastoreItem>
</file>

<file path=customXml/itemProps3.xml><?xml version="1.0" encoding="utf-8"?>
<ds:datastoreItem xmlns:ds="http://schemas.openxmlformats.org/officeDocument/2006/customXml" ds:itemID="{52E29B3F-3110-4459-B633-C095B7157E9E}">
  <ds:schemaRefs/>
</ds:datastoreItem>
</file>

<file path=customXml/itemProps4.xml><?xml version="1.0" encoding="utf-8"?>
<ds:datastoreItem xmlns:ds="http://schemas.openxmlformats.org/officeDocument/2006/customXml" ds:itemID="{4361FCE5-A0C3-4EDF-9FE8-23F6030951FB}">
  <ds:schemaRefs/>
</ds:datastoreItem>
</file>

<file path=customXml/itemProps5.xml><?xml version="1.0" encoding="utf-8"?>
<ds:datastoreItem xmlns:ds="http://schemas.openxmlformats.org/officeDocument/2006/customXml" ds:itemID="{24756404-F075-4849-913E-BFFD434EFD5B}">
  <ds:schemaRefs/>
</ds:datastoreItem>
</file>

<file path=customXml/itemProps6.xml><?xml version="1.0" encoding="utf-8"?>
<ds:datastoreItem xmlns:ds="http://schemas.openxmlformats.org/officeDocument/2006/customXml" ds:itemID="{CA3ED936-C750-4282-8463-FF74B3BD609A}">
  <ds:schemaRefs/>
</ds:datastoreItem>
</file>

<file path=customXml/itemProps7.xml><?xml version="1.0" encoding="utf-8"?>
<ds:datastoreItem xmlns:ds="http://schemas.openxmlformats.org/officeDocument/2006/customXml" ds:itemID="{A146F604-26A8-4E8A-8EFB-8BBFC6BEA2C0}">
  <ds:schemaRefs/>
</ds:datastoreItem>
</file>

<file path=customXml/itemProps8.xml><?xml version="1.0" encoding="utf-8"?>
<ds:datastoreItem xmlns:ds="http://schemas.openxmlformats.org/officeDocument/2006/customXml" ds:itemID="{08B09C44-1F41-4EA0-AD6E-9F1A4CDBC44E}">
  <ds:schemaRefs/>
</ds:datastoreItem>
</file>

<file path=customXml/itemProps9.xml><?xml version="1.0" encoding="utf-8"?>
<ds:datastoreItem xmlns:ds="http://schemas.openxmlformats.org/officeDocument/2006/customXml" ds:itemID="{5028AB69-138C-4226-9035-1C3D5C35CA7D}">
  <ds:schemaRefs/>
</ds:datastoreItem>
</file>

<file path=customXml/itemProps10.xml><?xml version="1.0" encoding="utf-8"?>
<ds:datastoreItem xmlns:ds="http://schemas.openxmlformats.org/officeDocument/2006/customXml" ds:itemID="{465CD052-264A-4F69-B4B4-2DDD57ACAC8B}">
  <ds:schemaRefs/>
</ds:datastoreItem>
</file>

<file path=customXml/itemProps11.xml><?xml version="1.0" encoding="utf-8"?>
<ds:datastoreItem xmlns:ds="http://schemas.openxmlformats.org/officeDocument/2006/customXml" ds:itemID="{F73EE418-920A-4D36-B921-72D64559FEC9}">
  <ds:schemaRefs/>
</ds:datastoreItem>
</file>

<file path=customXml/itemProps12.xml><?xml version="1.0" encoding="utf-8"?>
<ds:datastoreItem xmlns:ds="http://schemas.openxmlformats.org/officeDocument/2006/customXml" ds:itemID="{900A158F-94C0-4C14-AD0C-E73DF643E723}">
  <ds:schemaRefs/>
</ds:datastoreItem>
</file>

<file path=customXml/itemProps13.xml><?xml version="1.0" encoding="utf-8"?>
<ds:datastoreItem xmlns:ds="http://schemas.openxmlformats.org/officeDocument/2006/customXml" ds:itemID="{F381133F-0422-4158-8952-CAE9815B46AE}">
  <ds:schemaRefs/>
</ds:datastoreItem>
</file>

<file path=customXml/itemProps14.xml><?xml version="1.0" encoding="utf-8"?>
<ds:datastoreItem xmlns:ds="http://schemas.openxmlformats.org/officeDocument/2006/customXml" ds:itemID="{969908C3-2177-4651-B758-1E8077A1A26C}">
  <ds:schemaRefs/>
</ds:datastoreItem>
</file>

<file path=customXml/itemProps15.xml><?xml version="1.0" encoding="utf-8"?>
<ds:datastoreItem xmlns:ds="http://schemas.openxmlformats.org/officeDocument/2006/customXml" ds:itemID="{2F631B58-2283-45BD-9006-16AD9A22D3DD}">
  <ds:schemaRefs/>
</ds:datastoreItem>
</file>

<file path=customXml/itemProps16.xml><?xml version="1.0" encoding="utf-8"?>
<ds:datastoreItem xmlns:ds="http://schemas.openxmlformats.org/officeDocument/2006/customXml" ds:itemID="{B9112FE3-3424-459F-A873-0E86A961AB42}">
  <ds:schemaRefs/>
</ds:datastoreItem>
</file>

<file path=customXml/itemProps17.xml><?xml version="1.0" encoding="utf-8"?>
<ds:datastoreItem xmlns:ds="http://schemas.openxmlformats.org/officeDocument/2006/customXml" ds:itemID="{B90EAD4E-120A-499B-B469-6978C7120F43}">
  <ds:schemaRefs/>
</ds:datastoreItem>
</file>

<file path=customXml/itemProps18.xml><?xml version="1.0" encoding="utf-8"?>
<ds:datastoreItem xmlns:ds="http://schemas.openxmlformats.org/officeDocument/2006/customXml" ds:itemID="{9F9AC894-AAFF-43AD-92B1-6B609796676A}">
  <ds:schemaRefs/>
</ds:datastoreItem>
</file>

<file path=customXml/itemProps19.xml><?xml version="1.0" encoding="utf-8"?>
<ds:datastoreItem xmlns:ds="http://schemas.openxmlformats.org/officeDocument/2006/customXml" ds:itemID="{CF796723-E20A-4A2C-83E6-A9CF07C9AF23}">
  <ds:schemaRefs/>
</ds:datastoreItem>
</file>

<file path=customXml/itemProps20.xml><?xml version="1.0" encoding="utf-8"?>
<ds:datastoreItem xmlns:ds="http://schemas.openxmlformats.org/officeDocument/2006/customXml" ds:itemID="{A26B2E33-7586-4222-963C-1106337BF68A}">
  <ds:schemaRefs/>
</ds:datastoreItem>
</file>

<file path=customXml/itemProps21.xml><?xml version="1.0" encoding="utf-8"?>
<ds:datastoreItem xmlns:ds="http://schemas.openxmlformats.org/officeDocument/2006/customXml" ds:itemID="{3405CF7F-8CE8-4812-A36E-2B3B33F9D6A3}">
  <ds:schemaRefs/>
</ds:datastoreItem>
</file>

<file path=customXml/itemProps22.xml><?xml version="1.0" encoding="utf-8"?>
<ds:datastoreItem xmlns:ds="http://schemas.openxmlformats.org/officeDocument/2006/customXml" ds:itemID="{A258C25A-F6CD-400F-BCF0-29E1BB386CB1}">
  <ds:schemaRefs/>
</ds:datastoreItem>
</file>

<file path=customXml/itemProps23.xml><?xml version="1.0" encoding="utf-8"?>
<ds:datastoreItem xmlns:ds="http://schemas.openxmlformats.org/officeDocument/2006/customXml" ds:itemID="{3CB5BFD3-3841-48F3-919A-5E4D4C5539BF}">
  <ds:schemaRefs/>
</ds:datastoreItem>
</file>

<file path=customXml/itemProps24.xml><?xml version="1.0" encoding="utf-8"?>
<ds:datastoreItem xmlns:ds="http://schemas.openxmlformats.org/officeDocument/2006/customXml" ds:itemID="{49B1A3B6-3635-463C-AA31-78C7FC9A19AD}">
  <ds:schemaRefs/>
</ds:datastoreItem>
</file>

<file path=customXml/itemProps25.xml><?xml version="1.0" encoding="utf-8"?>
<ds:datastoreItem xmlns:ds="http://schemas.openxmlformats.org/officeDocument/2006/customXml" ds:itemID="{1C4F2183-BBA6-4502-9252-6C512BBBBB78}">
  <ds:schemaRefs/>
</ds:datastoreItem>
</file>

<file path=customXml/itemProps26.xml><?xml version="1.0" encoding="utf-8"?>
<ds:datastoreItem xmlns:ds="http://schemas.openxmlformats.org/officeDocument/2006/customXml" ds:itemID="{17291AEC-ECB5-4A83-9340-6D6BEDE91B01}">
  <ds:schemaRefs/>
</ds:datastoreItem>
</file>

<file path=customXml/itemProps27.xml><?xml version="1.0" encoding="utf-8"?>
<ds:datastoreItem xmlns:ds="http://schemas.openxmlformats.org/officeDocument/2006/customXml" ds:itemID="{747E4150-7C0B-479F-8491-B4CEE22467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Column Chart</vt:lpstr>
      <vt:lpstr>Bar Chart</vt:lpstr>
      <vt:lpstr>Line Chart</vt:lpstr>
      <vt:lpstr>Pie Chart</vt:lpstr>
      <vt:lpstr>Area Chart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2026-04-14T14:11:53Z</dcterms:created>
  <dcterms:modified xsi:type="dcterms:W3CDTF">2026-04-15T17:39:04Z</dcterms:modified>
</cp:coreProperties>
</file>